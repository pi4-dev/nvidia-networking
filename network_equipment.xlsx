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fo" sheetId="1" state="visible" r:id="rId1"/>
    <sheet xmlns:r="http://schemas.openxmlformats.org/officeDocument/2006/relationships" name="All products" sheetId="2" state="visible" r:id="rId2"/>
    <sheet xmlns:r="http://schemas.openxmlformats.org/officeDocument/2006/relationships" name="Search" sheetId="3" state="visible" r:id="rId3"/>
    <sheet xmlns:r="http://schemas.openxmlformats.org/officeDocument/2006/relationships" name="Transceivers" sheetId="4" state="visible" r:id="rId4"/>
    <sheet xmlns:r="http://schemas.openxmlformats.org/officeDocument/2006/relationships" name="AOC" sheetId="5" state="visible" r:id="rId5"/>
    <sheet xmlns:r="http://schemas.openxmlformats.org/officeDocument/2006/relationships" name="Copper - DAC - ACC" sheetId="6" state="visible" r:id="rId6"/>
    <sheet xmlns:r="http://schemas.openxmlformats.org/officeDocument/2006/relationships" name="Other active LinkX products" sheetId="7" state="visible" r:id="rId7"/>
    <sheet xmlns:r="http://schemas.openxmlformats.org/officeDocument/2006/relationships" name="Ethernet switching" sheetId="8" state="visible" r:id="rId8"/>
    <sheet xmlns:r="http://schemas.openxmlformats.org/officeDocument/2006/relationships" name="InfiniBand switching - applianc" sheetId="9" state="visible" r:id="rId9"/>
    <sheet xmlns:r="http://schemas.openxmlformats.org/officeDocument/2006/relationships" name="Silicon Photonics" sheetId="10" state="visible" r:id="rId10"/>
    <sheet xmlns:r="http://schemas.openxmlformats.org/officeDocument/2006/relationships" name="DPU" sheetId="11" state="visible" r:id="rId11"/>
    <sheet xmlns:r="http://schemas.openxmlformats.org/officeDocument/2006/relationships" name="SuperNIC" sheetId="12" state="visible" r:id="rId12"/>
    <sheet xmlns:r="http://schemas.openxmlformats.org/officeDocument/2006/relationships" name="Network adapters" sheetId="13" state="visible" r:id="rId13"/>
    <sheet xmlns:r="http://schemas.openxmlformats.org/officeDocument/2006/relationships" name="UFM appliances" sheetId="14" state="visible" r:id="rId14"/>
    <sheet xmlns:r="http://schemas.openxmlformats.org/officeDocument/2006/relationships" name="Legacy network adapters" sheetId="15" state="visible" r:id="rId15"/>
  </sheets>
  <definedNames>
    <definedName name="_xlnm._FilterDatabase" localSheetId="1" hidden="1">'All products'!$A$1:$O$107</definedName>
    <definedName name="_xlnm._FilterDatabase" localSheetId="3" hidden="1">'Transceivers'!$A$1:$M$35</definedName>
    <definedName name="_xlnm._FilterDatabase" localSheetId="4" hidden="1">'AOC'!$A$1:$M$4</definedName>
    <definedName name="_xlnm._FilterDatabase" localSheetId="5" hidden="1">'Copper - DAC - ACC'!$A$1:$M$12</definedName>
    <definedName name="_xlnm._FilterDatabase" localSheetId="6" hidden="1">'Other active LinkX products'!$A$1:$H$8</definedName>
    <definedName name="_xlnm._FilterDatabase" localSheetId="7" hidden="1">'Ethernet switching'!$A$1:$I$15</definedName>
    <definedName name="_xlnm._FilterDatabase" localSheetId="8" hidden="1">'InfiniBand switching - applianc'!$A$1:$I$12</definedName>
    <definedName name="_xlnm._FilterDatabase" localSheetId="9" hidden="1">'Silicon Photonics'!$A$1:$I$3</definedName>
    <definedName name="_xlnm._FilterDatabase" localSheetId="10" hidden="1">'DPU'!$A$1:$I$4</definedName>
    <definedName name="_xlnm._FilterDatabase" localSheetId="11" hidden="1">'SuperNIC'!$A$1:$I$4</definedName>
    <definedName name="_xlnm._FilterDatabase" localSheetId="12" hidden="1">'Network adapters'!$A$1:$I$9</definedName>
    <definedName name="_xlnm._FilterDatabase" localSheetId="13" hidden="1">'UFM appliances'!$A$1:$H$8</definedName>
    <definedName name="_xlnm._FilterDatabase" localSheetId="14" hidden="1">'Legacy network adapters'!$A$1:$F$4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color rgb="FF0563C1"/>
      <sz val="11"/>
      <u val="single"/>
    </font>
    <font>
      <name val="Cambria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76B900"/>
        <bgColor rgb="FF808000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76B9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6B9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networking-docs.nvidia.com/mms4b10xmtro1600g" TargetMode="External" Id="rId1"/><Relationship Type="http://schemas.openxmlformats.org/officeDocument/2006/relationships/hyperlink" Target="https://networking-docs.nvidia.com/mms4b10xmtro1600g" TargetMode="External" Id="rId2"/><Relationship Type="http://schemas.openxmlformats.org/officeDocument/2006/relationships/hyperlink" Target="https://networking-docs.nvidia.com/9iau000xmosfptcvr1600" TargetMode="External" Id="rId3"/><Relationship Type="http://schemas.openxmlformats.org/officeDocument/2006/relationships/hyperlink" Target="https://networking-docs.nvidia.com/9iau000xmosfptcvr1600" TargetMode="External" Id="rId4"/><Relationship Type="http://schemas.openxmlformats.org/officeDocument/2006/relationships/hyperlink" Target="https://networking-docs.nvidia.com/9iau000xmosfptcvr1600" TargetMode="External" Id="rId5"/><Relationship Type="http://schemas.openxmlformats.org/officeDocument/2006/relationships/hyperlink" Target="https://networking-docs.nvidia.com/9iau000xmosfptcvr1600" TargetMode="External" Id="rId6"/><Relationship Type="http://schemas.openxmlformats.org/officeDocument/2006/relationships/hyperlink" Target="https://networking-docs.nvidia.com/9iahx00xmosfptcvr1600" TargetMode="External" Id="rId7"/><Relationship Type="http://schemas.openxmlformats.org/officeDocument/2006/relationships/hyperlink" Target="https://networking-docs.nvidia.com/9iahx00xmosfptcvr1600" TargetMode="External" Id="rId8"/><Relationship Type="http://schemas.openxmlformats.org/officeDocument/2006/relationships/hyperlink" Target="https://networking-docs.nvidia.com/mms4a501600gosfp" TargetMode="External" Id="rId9"/><Relationship Type="http://schemas.openxmlformats.org/officeDocument/2006/relationships/hyperlink" Target="https://networking-docs.nvidia.com/mms4a501600gosfp" TargetMode="External" Id="rId10"/><Relationship Type="http://schemas.openxmlformats.org/officeDocument/2006/relationships/hyperlink" Target="https://networking-docs.nvidia.com/mms1z00ns400sr4" TargetMode="External" Id="rId11"/><Relationship Type="http://schemas.openxmlformats.org/officeDocument/2006/relationships/hyperlink" Target="https://networking-docs.nvidia.com/mms1v00wm10" TargetMode="External" Id="rId12"/><Relationship Type="http://schemas.openxmlformats.org/officeDocument/2006/relationships/hyperlink" Target="https://networking-docs.nvidia.com/mms4x00ns400" TargetMode="External" Id="rId13"/><Relationship Type="http://schemas.openxmlformats.org/officeDocument/2006/relationships/hyperlink" Target="https://networking-docs.nvidia.com/mma4z00ns400" TargetMode="External" Id="rId14"/><Relationship Type="http://schemas.openxmlformats.org/officeDocument/2006/relationships/hyperlink" Target="https://networking-docs.nvidia.com/mma4z00ns400t" TargetMode="External" Id="rId15"/><Relationship Type="http://schemas.openxmlformats.org/officeDocument/2006/relationships/hyperlink" Target="https://networking-docs.nvidia.com/mma1z00ns400t" TargetMode="External" Id="rId16"/><Relationship Type="http://schemas.openxmlformats.org/officeDocument/2006/relationships/hyperlink" Target="https://networking-docs.nvidia.com/mms1x00ns400" TargetMode="External" Id="rId17"/><Relationship Type="http://schemas.openxmlformats.org/officeDocument/2006/relationships/hyperlink" Target="https://networking-docs.nvidia.com/mms1v70cm10" TargetMode="External" Id="rId18"/><Relationship Type="http://schemas.openxmlformats.org/officeDocument/2006/relationships/hyperlink" Target="https://networking-docs.nvidia.com/mma1b00c100dspec" TargetMode="External" Id="rId19"/><Relationship Type="http://schemas.openxmlformats.org/officeDocument/2006/relationships/hyperlink" Target="https://networking-docs.nvidia.com/mms4c1x800" TargetMode="External" Id="rId20"/><Relationship Type="http://schemas.openxmlformats.org/officeDocument/2006/relationships/hyperlink" Target="https://networking-docs.nvidia.com/mms4x00nmt800g" TargetMode="External" Id="rId21"/><Relationship Type="http://schemas.openxmlformats.org/officeDocument/2006/relationships/hyperlink" Target="https://networking-docs.nvidia.com/mms4x00nm800g500m" TargetMode="External" Id="rId22"/><Relationship Type="http://schemas.openxmlformats.org/officeDocument/2006/relationships/hyperlink" Target="https://networking-docs.nvidia.com/mms4x00nm800g500m" TargetMode="External" Id="rId23"/><Relationship Type="http://schemas.openxmlformats.org/officeDocument/2006/relationships/hyperlink" Target="https://networking-docs.nvidia.com/mms4x50nm800g2kmpub" TargetMode="External" Id="rId24"/><Relationship Type="http://schemas.openxmlformats.org/officeDocument/2006/relationships/hyperlink" Target="https://networking-docs.nvidia.com/800gmms4x00ns" TargetMode="External" Id="rId25"/><Relationship Type="http://schemas.openxmlformats.org/officeDocument/2006/relationships/hyperlink" Target="https://networking-docs.nvidia.com/800gmms4x00ns" TargetMode="External" Id="rId26"/><Relationship Type="http://schemas.openxmlformats.org/officeDocument/2006/relationships/hyperlink" Target="https://networking-docs.nvidia.com/800gmma4z00nst" TargetMode="External" Id="rId27"/><Relationship Type="http://schemas.openxmlformats.org/officeDocument/2006/relationships/hyperlink" Target="https://networking-docs.nvidia.com/800gmms4x00nst" TargetMode="External" Id="rId28"/><Relationship Type="http://schemas.openxmlformats.org/officeDocument/2006/relationships/hyperlink" Target="https://networking-docs.nvidia.com/9iat0mosfp800sprhs" TargetMode="External" Id="rId29"/><Relationship Type="http://schemas.openxmlformats.org/officeDocument/2006/relationships/hyperlink" Target="https://networking-docs.nvidia.com/mms4x00nm16" TargetMode="External" Id="rId30"/><Relationship Type="http://schemas.openxmlformats.org/officeDocument/2006/relationships/hyperlink" Target="https://networking-docs.nvidia.com/mms4x00nmhgx500" TargetMode="External" Id="rId31"/><Relationship Type="http://schemas.openxmlformats.org/officeDocument/2006/relationships/hyperlink" Target="https://networking-docs.nvidia.com/mms4x90nr800g" TargetMode="External" Id="rId32"/><Relationship Type="http://schemas.openxmlformats.org/officeDocument/2006/relationships/hyperlink" Target="https://networking-docs.nvidia.com/mms1w50hmspec" TargetMode="External" Id="rId33"/><Relationship Type="http://schemas.openxmlformats.org/officeDocument/2006/relationships/hyperlink" Target="https://networking-docs.nvidia.com/mma2p00asspec" TargetMode="External" Id="rId34"/><Relationship Type="http://schemas.openxmlformats.org/officeDocument/2006/relationships/hyperlink" Target="https://networking-docs.nvidia.com/mfa7u10h00x10" TargetMode="External" Id="rId35"/><Relationship Type="http://schemas.openxmlformats.org/officeDocument/2006/relationships/hyperlink" Target="https://networking-docs.nvidia.com/mfa7u10h00x10" TargetMode="External" Id="rId36"/><Relationship Type="http://schemas.openxmlformats.org/officeDocument/2006/relationships/hyperlink" Target="https://networking-docs.nvidia.com/mfs1s00hxxxv10" TargetMode="External" Id="rId37"/><Relationship Type="http://schemas.openxmlformats.org/officeDocument/2006/relationships/hyperlink" Target="https://networking-docs.nvidia.com/mca4k00hw" TargetMode="External" Id="rId38"/><Relationship Type="http://schemas.openxmlformats.org/officeDocument/2006/relationships/hyperlink" Target="https://networking-docs.nvidia.com/mca4k50osfp1600" TargetMode="External" Id="rId39"/><Relationship Type="http://schemas.openxmlformats.org/officeDocument/2006/relationships/hyperlink" Target="https://networking-docs.nvidia.com/9809iao500xxxxrhs2x800" TargetMode="External" Id="rId40"/><Relationship Type="http://schemas.openxmlformats.org/officeDocument/2006/relationships/hyperlink" Target="https://networking-docs.nvidia.com/mca4j80nxxx800pub" TargetMode="External" Id="rId41"/><Relationship Type="http://schemas.openxmlformats.org/officeDocument/2006/relationships/hyperlink" Target="https://networking-docs.nvidia.com/mca4j80nxxx800pub" TargetMode="External" Id="rId42"/><Relationship Type="http://schemas.openxmlformats.org/officeDocument/2006/relationships/hyperlink" Target="https://networking-docs.nvidia.com/mca4j80nxxx800pub" TargetMode="External" Id="rId43"/><Relationship Type="http://schemas.openxmlformats.org/officeDocument/2006/relationships/hyperlink" Target="https://networking-docs.nvidia.com/mcp4y10nxxx2x400pub" TargetMode="External" Id="rId44"/><Relationship Type="http://schemas.openxmlformats.org/officeDocument/2006/relationships/hyperlink" Target="https://networking-docs.nvidia.com/mcp4y10nxxx2x400pub" TargetMode="External" Id="rId45"/><Relationship Type="http://schemas.openxmlformats.org/officeDocument/2006/relationships/hyperlink" Target="https://networking-docs.nvidia.com/mcp7y00nxxx800pub" TargetMode="External" Id="rId46"/><Relationship Type="http://schemas.openxmlformats.org/officeDocument/2006/relationships/hyperlink" Target="https://networking-docs.nvidia.com/mcp7y00nxxx800pub" TargetMode="External" Id="rId47"/><Relationship Type="http://schemas.openxmlformats.org/officeDocument/2006/relationships/hyperlink" Target="https://networking-docs.nvidia.com/mcp1600e0xxxeyyspec" TargetMode="External" Id="rId48"/><Relationship Type="http://schemas.openxmlformats.org/officeDocument/2006/relationships/hyperlink" Target="https://networking-docs.nvidia.com/9iau000xmosfptcvr1600" TargetMode="External" Id="rId49"/><Relationship Type="http://schemas.openxmlformats.org/officeDocument/2006/relationships/hyperlink" Target="https://networking-docs.nvidia.com/mam1q00aqsadnmx" TargetMode="External" Id="rId50"/><Relationship Type="http://schemas.openxmlformats.org/officeDocument/2006/relationships/hyperlink" Target="https://networking-docs.nvidia.com/mam1q00aqsa28dnmx" TargetMode="External" Id="rId51"/><Relationship Type="http://schemas.openxmlformats.org/officeDocument/2006/relationships/hyperlink" Target="https://networking-docs.nvidia.com/mfp7e10nxxx" TargetMode="External" Id="rId52"/><Relationship Type="http://schemas.openxmlformats.org/officeDocument/2006/relationships/hyperlink" Target="https://networking-docs.nvidia.com/mfp7e20nxxx" TargetMode="External" Id="rId53"/><Relationship Type="http://schemas.openxmlformats.org/officeDocument/2006/relationships/hyperlink" Target="https://networking-docs.nvidia.com/mfp7e30nxxxpub" TargetMode="External" Id="rId54"/><Relationship Type="http://schemas.openxmlformats.org/officeDocument/2006/relationships/hyperlink" Target="https://networking-docs.nvidia.com/mfp7e40nxxxpub" TargetMode="External" Id="rId55"/><Relationship Type="http://schemas.openxmlformats.org/officeDocument/2006/relationships/hyperlink" Target="https://networking-docs.nvidia.com/sn6000hw" TargetMode="External" Id="rId56"/><Relationship Type="http://schemas.openxmlformats.org/officeDocument/2006/relationships/hyperlink" Target="https://networking-docs.nvidia.com/sn6000hw" TargetMode="External" Id="rId57"/><Relationship Type="http://schemas.openxmlformats.org/officeDocument/2006/relationships/hyperlink" Target="https://networking-docs.nvidia.com/sn6000hw" TargetMode="External" Id="rId58"/><Relationship Type="http://schemas.openxmlformats.org/officeDocument/2006/relationships/hyperlink" Target="https://networking-docs.nvidia.com/sn6000hw" TargetMode="External" Id="rId59"/><Relationship Type="http://schemas.openxmlformats.org/officeDocument/2006/relationships/hyperlink" Target="https://networking-docs.nvidia.com/sn5000hw" TargetMode="External" Id="rId60"/><Relationship Type="http://schemas.openxmlformats.org/officeDocument/2006/relationships/hyperlink" Target="https://networking-docs.nvidia.com/sn5000hw" TargetMode="External" Id="rId61"/><Relationship Type="http://schemas.openxmlformats.org/officeDocument/2006/relationships/hyperlink" Target="https://networking-docs.nvidia.com/sn5000hw" TargetMode="External" Id="rId62"/><Relationship Type="http://schemas.openxmlformats.org/officeDocument/2006/relationships/hyperlink" Target="https://networking-docs.nvidia.com/sn5000hw" TargetMode="External" Id="rId63"/><Relationship Type="http://schemas.openxmlformats.org/officeDocument/2006/relationships/hyperlink" Target="https://networking-docs.nvidia.com/sn4000hw" TargetMode="External" Id="rId64"/><Relationship Type="http://schemas.openxmlformats.org/officeDocument/2006/relationships/hyperlink" Target="https://networking-docs.nvidia.com/sn4000hw" TargetMode="External" Id="rId65"/><Relationship Type="http://schemas.openxmlformats.org/officeDocument/2006/relationships/hyperlink" Target="https://networking-docs.nvidia.com/sn3000hw" TargetMode="External" Id="rId66"/><Relationship Type="http://schemas.openxmlformats.org/officeDocument/2006/relationships/hyperlink" Target="https://networking-docs.nvidia.com/sn2201hw" TargetMode="External" Id="rId67"/><Relationship Type="http://schemas.openxmlformats.org/officeDocument/2006/relationships/hyperlink" Target="https://networking-docs.nvidia.com/sn4000hw" TargetMode="External" Id="rId68"/><Relationship Type="http://schemas.openxmlformats.org/officeDocument/2006/relationships/hyperlink" Target="https://networking-docs.nvidia.com/sn4000hw" TargetMode="External" Id="rId69"/><Relationship Type="http://schemas.openxmlformats.org/officeDocument/2006/relationships/hyperlink" Target="https://networking-docs.nvidia.com/switches" TargetMode="External" Id="rId70"/><Relationship Type="http://schemas.openxmlformats.org/officeDocument/2006/relationships/hyperlink" Target="https://networking-docs.nvidia.com/switches" TargetMode="External" Id="rId71"/><Relationship Type="http://schemas.openxmlformats.org/officeDocument/2006/relationships/hyperlink" Target="https://networking-docs.nvidia.com/switches" TargetMode="External" Id="rId72"/><Relationship Type="http://schemas.openxmlformats.org/officeDocument/2006/relationships/hyperlink" Target="https://networking-docs.nvidia.com/switches" TargetMode="External" Id="rId73"/><Relationship Type="http://schemas.openxmlformats.org/officeDocument/2006/relationships/hyperlink" Target="https://networking-docs.nvidia.com/switches" TargetMode="External" Id="rId74"/><Relationship Type="http://schemas.openxmlformats.org/officeDocument/2006/relationships/hyperlink" Target="https://networking-docs.nvidia.com/skywayhw" TargetMode="External" Id="rId75"/><Relationship Type="http://schemas.openxmlformats.org/officeDocument/2006/relationships/hyperlink" Target="https://networking-docs.nvidia.com/metrox3xc" TargetMode="External" Id="rId76"/><Relationship Type="http://schemas.openxmlformats.org/officeDocument/2006/relationships/hyperlink" Target="https://networking-docs.nvidia.com/switches" TargetMode="External" Id="rId77"/><Relationship Type="http://schemas.openxmlformats.org/officeDocument/2006/relationships/hyperlink" Target="https://networking-docs.nvidia.com/switches" TargetMode="External" Id="rId78"/><Relationship Type="http://schemas.openxmlformats.org/officeDocument/2006/relationships/hyperlink" Target="https://networking-docs.nvidia.com/switches" TargetMode="External" Id="rId79"/><Relationship Type="http://schemas.openxmlformats.org/officeDocument/2006/relationships/hyperlink" Target="https://networking-docs.nvidia.com/skyway3hw" TargetMode="External" Id="rId80"/><Relationship Type="http://schemas.openxmlformats.org/officeDocument/2006/relationships/hyperlink" Target="https://networking-docs.nvidia.com/xdrswitcheshw" TargetMode="External" Id="rId81"/><Relationship Type="http://schemas.openxmlformats.org/officeDocument/2006/relationships/hyperlink" Target="https://www.nvidia.com/en-us/networking/products/silicon-photonics/" TargetMode="External" Id="rId82"/><Relationship Type="http://schemas.openxmlformats.org/officeDocument/2006/relationships/hyperlink" Target="https://www.nvidia.com/en-eu/data-center/dgx-rubin-nvl8/" TargetMode="External" Id="rId83"/><Relationship Type="http://schemas.openxmlformats.org/officeDocument/2006/relationships/hyperlink" Target="https://www.nvidia.com/en-us/networking/products/data-processing-unit/" TargetMode="External" Id="rId84"/><Relationship Type="http://schemas.openxmlformats.org/officeDocument/2006/relationships/hyperlink" Target="https://networking-docs.nvidia.com/bf3dpu" TargetMode="External" Id="rId85"/><Relationship Type="http://schemas.openxmlformats.org/officeDocument/2006/relationships/hyperlink" Target="https://networking-docs.nvidia.com/connectx9hw" TargetMode="External" Id="rId86"/><Relationship Type="http://schemas.openxmlformats.org/officeDocument/2006/relationships/hyperlink" Target="https://networking-docs.nvidia.com/connectx8hw" TargetMode="External" Id="rId87"/><Relationship Type="http://schemas.openxmlformats.org/officeDocument/2006/relationships/hyperlink" Target="https://networking-docs.nvidia.com/bf3dpu" TargetMode="External" Id="rId88"/><Relationship Type="http://schemas.openxmlformats.org/officeDocument/2006/relationships/hyperlink" Target="https://networking-docs.nvidia.com/connectx9hw" TargetMode="External" Id="rId89"/><Relationship Type="http://schemas.openxmlformats.org/officeDocument/2006/relationships/hyperlink" Target="https://networking-docs.nvidia.com/connectx9hw" TargetMode="External" Id="rId90"/><Relationship Type="http://schemas.openxmlformats.org/officeDocument/2006/relationships/hyperlink" Target="https://networking-docs.nvidia.com/connectx8hw" TargetMode="External" Id="rId91"/><Relationship Type="http://schemas.openxmlformats.org/officeDocument/2006/relationships/hyperlink" Target="https://networking-docs.nvidia.com/connectx8hw" TargetMode="External" Id="rId92"/><Relationship Type="http://schemas.openxmlformats.org/officeDocument/2006/relationships/hyperlink" Target="https://networking-docs.nvidia.com/connectx7hw" TargetMode="External" Id="rId93"/><Relationship Type="http://schemas.openxmlformats.org/officeDocument/2006/relationships/hyperlink" Target="https://networking-docs.nvidia.com/adapters" TargetMode="External" Id="rId94"/><Relationship Type="http://schemas.openxmlformats.org/officeDocument/2006/relationships/hyperlink" Target="https://networking-docs.nvidia.com/adapters" TargetMode="External" Id="rId95"/><Relationship Type="http://schemas.openxmlformats.org/officeDocument/2006/relationships/hyperlink" Target="https://networking-docs.nvidia.com/adapters" TargetMode="External" Id="rId96"/><Relationship Type="http://schemas.openxmlformats.org/officeDocument/2006/relationships/hyperlink" Target="https://networking-docs.nvidia.com/software/management-software/ufm-appliances" TargetMode="External" Id="rId97"/><Relationship Type="http://schemas.openxmlformats.org/officeDocument/2006/relationships/hyperlink" Target="https://networking-docs.nvidia.com/ufmenterprisexdrdchw/" TargetMode="External" Id="rId98"/><Relationship Type="http://schemas.openxmlformats.org/officeDocument/2006/relationships/hyperlink" Target="https://networking-docs.nvidia.com/ufm40cyberaiapphw" TargetMode="External" Id="rId99"/><Relationship Type="http://schemas.openxmlformats.org/officeDocument/2006/relationships/hyperlink" Target="https://networking-docs.nvidia.com/ufmenterprisehdrhwum" TargetMode="External" Id="rId100"/><Relationship Type="http://schemas.openxmlformats.org/officeDocument/2006/relationships/hyperlink" Target="https://networking-docs.nvidia.com/ufmenterprisendrhwum" TargetMode="External" Id="rId101"/><Relationship Type="http://schemas.openxmlformats.org/officeDocument/2006/relationships/hyperlink" Target="https://networking-docs.nvidia.com/ufmsdn25apphw" TargetMode="External" Id="rId102"/><Relationship Type="http://schemas.openxmlformats.org/officeDocument/2006/relationships/hyperlink" Target="https://networking-docs.nvidia.com/ufm45cyberaiapphw" TargetMode="External" Id="rId103"/><Relationship Type="http://schemas.openxmlformats.org/officeDocument/2006/relationships/hyperlink" Target="https://networking-docs.nvidia.com/connectx5enhw" TargetMode="External" Id="rId104"/><Relationship Type="http://schemas.openxmlformats.org/officeDocument/2006/relationships/hyperlink" Target="https://networking-docs.nvidia.com/connectx4vpihw" TargetMode="External" Id="rId105"/><Relationship Type="http://schemas.openxmlformats.org/officeDocument/2006/relationships/hyperlink" Target="https://networking-docs.nvidia.com/connectx4lxhw" TargetMode="External" Id="rId106"/></Relationships>
</file>

<file path=xl/worksheets/_rels/sheet4.xml.rels><Relationships xmlns="http://schemas.openxmlformats.org/package/2006/relationships"><Relationship Type="http://schemas.openxmlformats.org/officeDocument/2006/relationships/hyperlink" Target="https://networking-docs.nvidia.com/mms4b10xmtro1600g" TargetMode="External" Id="rId1"/><Relationship Type="http://schemas.openxmlformats.org/officeDocument/2006/relationships/hyperlink" Target="https://networking-docs.nvidia.com/mms4b10xmtro1600g" TargetMode="External" Id="rId2"/><Relationship Type="http://schemas.openxmlformats.org/officeDocument/2006/relationships/hyperlink" Target="https://networking-docs.nvidia.com/9iau000xmosfptcvr1600" TargetMode="External" Id="rId3"/><Relationship Type="http://schemas.openxmlformats.org/officeDocument/2006/relationships/hyperlink" Target="https://networking-docs.nvidia.com/9iau000xmosfptcvr1600" TargetMode="External" Id="rId4"/><Relationship Type="http://schemas.openxmlformats.org/officeDocument/2006/relationships/hyperlink" Target="https://networking-docs.nvidia.com/9iau000xmosfptcvr1600" TargetMode="External" Id="rId5"/><Relationship Type="http://schemas.openxmlformats.org/officeDocument/2006/relationships/hyperlink" Target="https://networking-docs.nvidia.com/9iau000xmosfptcvr1600" TargetMode="External" Id="rId6"/><Relationship Type="http://schemas.openxmlformats.org/officeDocument/2006/relationships/hyperlink" Target="https://networking-docs.nvidia.com/9iahx00xmosfptcvr1600" TargetMode="External" Id="rId7"/><Relationship Type="http://schemas.openxmlformats.org/officeDocument/2006/relationships/hyperlink" Target="https://networking-docs.nvidia.com/9iahx00xmosfptcvr1600" TargetMode="External" Id="rId8"/><Relationship Type="http://schemas.openxmlformats.org/officeDocument/2006/relationships/hyperlink" Target="https://networking-docs.nvidia.com/mms4a501600gosfp" TargetMode="External" Id="rId9"/><Relationship Type="http://schemas.openxmlformats.org/officeDocument/2006/relationships/hyperlink" Target="https://networking-docs.nvidia.com/mms4a501600gosfp" TargetMode="External" Id="rId10"/><Relationship Type="http://schemas.openxmlformats.org/officeDocument/2006/relationships/hyperlink" Target="https://networking-docs.nvidia.com/mms1z00ns400sr4" TargetMode="External" Id="rId11"/><Relationship Type="http://schemas.openxmlformats.org/officeDocument/2006/relationships/hyperlink" Target="https://networking-docs.nvidia.com/mms1v00wm10" TargetMode="External" Id="rId12"/><Relationship Type="http://schemas.openxmlformats.org/officeDocument/2006/relationships/hyperlink" Target="https://networking-docs.nvidia.com/mms4x00ns400" TargetMode="External" Id="rId13"/><Relationship Type="http://schemas.openxmlformats.org/officeDocument/2006/relationships/hyperlink" Target="https://networking-docs.nvidia.com/mma4z00ns400" TargetMode="External" Id="rId14"/><Relationship Type="http://schemas.openxmlformats.org/officeDocument/2006/relationships/hyperlink" Target="https://networking-docs.nvidia.com/mma4z00ns400t" TargetMode="External" Id="rId15"/><Relationship Type="http://schemas.openxmlformats.org/officeDocument/2006/relationships/hyperlink" Target="https://networking-docs.nvidia.com/mma1z00ns400t" TargetMode="External" Id="rId16"/><Relationship Type="http://schemas.openxmlformats.org/officeDocument/2006/relationships/hyperlink" Target="https://networking-docs.nvidia.com/mms1x00ns400" TargetMode="External" Id="rId17"/><Relationship Type="http://schemas.openxmlformats.org/officeDocument/2006/relationships/hyperlink" Target="https://networking-docs.nvidia.com/mms1v70cm10" TargetMode="External" Id="rId18"/><Relationship Type="http://schemas.openxmlformats.org/officeDocument/2006/relationships/hyperlink" Target="https://networking-docs.nvidia.com/mma1b00c100dspec" TargetMode="External" Id="rId19"/><Relationship Type="http://schemas.openxmlformats.org/officeDocument/2006/relationships/hyperlink" Target="https://networking-docs.nvidia.com/mms4c1x800" TargetMode="External" Id="rId20"/><Relationship Type="http://schemas.openxmlformats.org/officeDocument/2006/relationships/hyperlink" Target="https://networking-docs.nvidia.com/mms4x00nmt800g" TargetMode="External" Id="rId21"/><Relationship Type="http://schemas.openxmlformats.org/officeDocument/2006/relationships/hyperlink" Target="https://networking-docs.nvidia.com/mms4x00nm800g500m" TargetMode="External" Id="rId22"/><Relationship Type="http://schemas.openxmlformats.org/officeDocument/2006/relationships/hyperlink" Target="https://networking-docs.nvidia.com/mms4x00nm800g500m" TargetMode="External" Id="rId23"/><Relationship Type="http://schemas.openxmlformats.org/officeDocument/2006/relationships/hyperlink" Target="https://networking-docs.nvidia.com/mms4x50nm800g2kmpub" TargetMode="External" Id="rId24"/><Relationship Type="http://schemas.openxmlformats.org/officeDocument/2006/relationships/hyperlink" Target="https://networking-docs.nvidia.com/800gmms4x00ns" TargetMode="External" Id="rId25"/><Relationship Type="http://schemas.openxmlformats.org/officeDocument/2006/relationships/hyperlink" Target="https://networking-docs.nvidia.com/800gmms4x00ns" TargetMode="External" Id="rId26"/><Relationship Type="http://schemas.openxmlformats.org/officeDocument/2006/relationships/hyperlink" Target="https://networking-docs.nvidia.com/800gmma4z00nst" TargetMode="External" Id="rId27"/><Relationship Type="http://schemas.openxmlformats.org/officeDocument/2006/relationships/hyperlink" Target="https://networking-docs.nvidia.com/800gmms4x00nst" TargetMode="External" Id="rId28"/><Relationship Type="http://schemas.openxmlformats.org/officeDocument/2006/relationships/hyperlink" Target="https://networking-docs.nvidia.com/9iat0mosfp800sprhs" TargetMode="External" Id="rId29"/><Relationship Type="http://schemas.openxmlformats.org/officeDocument/2006/relationships/hyperlink" Target="https://networking-docs.nvidia.com/mms4x00nm16" TargetMode="External" Id="rId30"/><Relationship Type="http://schemas.openxmlformats.org/officeDocument/2006/relationships/hyperlink" Target="https://networking-docs.nvidia.com/mms4x00nmhgx500" TargetMode="External" Id="rId31"/><Relationship Type="http://schemas.openxmlformats.org/officeDocument/2006/relationships/hyperlink" Target="https://networking-docs.nvidia.com/mms4x90nr800g" TargetMode="External" Id="rId32"/><Relationship Type="http://schemas.openxmlformats.org/officeDocument/2006/relationships/hyperlink" Target="https://networking-docs.nvidia.com/mms1w50hmspec" TargetMode="External" Id="rId33"/><Relationship Type="http://schemas.openxmlformats.org/officeDocument/2006/relationships/hyperlink" Target="https://networking-docs.nvidia.com/mma2p00asspec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networking-docs.nvidia.com/mfa7u10h00x10" TargetMode="External" Id="rId1"/><Relationship Type="http://schemas.openxmlformats.org/officeDocument/2006/relationships/hyperlink" Target="https://networking-docs.nvidia.com/mfa7u10h00x10" TargetMode="External" Id="rId2"/><Relationship Type="http://schemas.openxmlformats.org/officeDocument/2006/relationships/hyperlink" Target="https://networking-docs.nvidia.com/mfs1s00hxxxv10" TargetMode="External" Id="rId3"/></Relationships>
</file>

<file path=xl/worksheets/_rels/sheet6.xml.rels><Relationships xmlns="http://schemas.openxmlformats.org/package/2006/relationships"><Relationship Type="http://schemas.openxmlformats.org/officeDocument/2006/relationships/hyperlink" Target="https://networking-docs.nvidia.com/mca4k00hw" TargetMode="External" Id="rId1"/><Relationship Type="http://schemas.openxmlformats.org/officeDocument/2006/relationships/hyperlink" Target="https://networking-docs.nvidia.com/mca4k50osfp1600" TargetMode="External" Id="rId2"/><Relationship Type="http://schemas.openxmlformats.org/officeDocument/2006/relationships/hyperlink" Target="https://networking-docs.nvidia.com/9809iao500xxxxrhs2x800" TargetMode="External" Id="rId3"/><Relationship Type="http://schemas.openxmlformats.org/officeDocument/2006/relationships/hyperlink" Target="https://networking-docs.nvidia.com/mca4j80nxxx800pub" TargetMode="External" Id="rId4"/><Relationship Type="http://schemas.openxmlformats.org/officeDocument/2006/relationships/hyperlink" Target="https://networking-docs.nvidia.com/mca4j80nxxx800pub" TargetMode="External" Id="rId5"/><Relationship Type="http://schemas.openxmlformats.org/officeDocument/2006/relationships/hyperlink" Target="https://networking-docs.nvidia.com/mca4j80nxxx800pub" TargetMode="External" Id="rId6"/><Relationship Type="http://schemas.openxmlformats.org/officeDocument/2006/relationships/hyperlink" Target="https://networking-docs.nvidia.com/mcp4y10nxxx2x400pub" TargetMode="External" Id="rId7"/><Relationship Type="http://schemas.openxmlformats.org/officeDocument/2006/relationships/hyperlink" Target="https://networking-docs.nvidia.com/mcp4y10nxxx2x400pub" TargetMode="External" Id="rId8"/><Relationship Type="http://schemas.openxmlformats.org/officeDocument/2006/relationships/hyperlink" Target="https://networking-docs.nvidia.com/mcp7y00nxxx800pub" TargetMode="External" Id="rId9"/><Relationship Type="http://schemas.openxmlformats.org/officeDocument/2006/relationships/hyperlink" Target="https://networking-docs.nvidia.com/mcp7y00nxxx800pub" TargetMode="External" Id="rId10"/><Relationship Type="http://schemas.openxmlformats.org/officeDocument/2006/relationships/hyperlink" Target="https://networking-docs.nvidia.com/mcp1600e0xxxeyyspec" TargetMode="External" Id="rId11"/></Relationships>
</file>

<file path=xl/worksheets/_rels/sheet7.xml.rels><Relationships xmlns="http://schemas.openxmlformats.org/package/2006/relationships"><Relationship Type="http://schemas.openxmlformats.org/officeDocument/2006/relationships/hyperlink" Target="https://networking-docs.nvidia.com/9iau000xmosfptcvr1600" TargetMode="External" Id="rId1"/><Relationship Type="http://schemas.openxmlformats.org/officeDocument/2006/relationships/hyperlink" Target="https://networking-docs.nvidia.com/mam1q00aqsadnmx" TargetMode="External" Id="rId2"/><Relationship Type="http://schemas.openxmlformats.org/officeDocument/2006/relationships/hyperlink" Target="https://networking-docs.nvidia.com/mam1q00aqsa28dnmx" TargetMode="External" Id="rId3"/><Relationship Type="http://schemas.openxmlformats.org/officeDocument/2006/relationships/hyperlink" Target="https://networking-docs.nvidia.com/mfp7e10nxxx" TargetMode="External" Id="rId4"/><Relationship Type="http://schemas.openxmlformats.org/officeDocument/2006/relationships/hyperlink" Target="https://networking-docs.nvidia.com/mfp7e20nxxx" TargetMode="External" Id="rId5"/><Relationship Type="http://schemas.openxmlformats.org/officeDocument/2006/relationships/hyperlink" Target="https://networking-docs.nvidia.com/mfp7e30nxxxpub" TargetMode="External" Id="rId6"/><Relationship Type="http://schemas.openxmlformats.org/officeDocument/2006/relationships/hyperlink" Target="https://networking-docs.nvidia.com/mfp7e40nxxxpub" TargetMode="External" Id="rId7"/></Relationships>
</file>

<file path=xl/worksheets/_rels/sheet8.xml.rels><Relationships xmlns="http://schemas.openxmlformats.org/package/2006/relationships"><Relationship Type="http://schemas.openxmlformats.org/officeDocument/2006/relationships/hyperlink" Target="https://networking-docs.nvidia.com/sn6000hw" TargetMode="External" Id="rId1"/><Relationship Type="http://schemas.openxmlformats.org/officeDocument/2006/relationships/hyperlink" Target="https://networking-docs.nvidia.com/sn6000hw" TargetMode="External" Id="rId2"/><Relationship Type="http://schemas.openxmlformats.org/officeDocument/2006/relationships/hyperlink" Target="https://networking-docs.nvidia.com/sn6000hw" TargetMode="External" Id="rId3"/><Relationship Type="http://schemas.openxmlformats.org/officeDocument/2006/relationships/hyperlink" Target="https://networking-docs.nvidia.com/sn6000hw" TargetMode="External" Id="rId4"/><Relationship Type="http://schemas.openxmlformats.org/officeDocument/2006/relationships/hyperlink" Target="https://networking-docs.nvidia.com/sn5000hw" TargetMode="External" Id="rId5"/><Relationship Type="http://schemas.openxmlformats.org/officeDocument/2006/relationships/hyperlink" Target="https://networking-docs.nvidia.com/sn5000hw" TargetMode="External" Id="rId6"/><Relationship Type="http://schemas.openxmlformats.org/officeDocument/2006/relationships/hyperlink" Target="https://networking-docs.nvidia.com/sn5000hw" TargetMode="External" Id="rId7"/><Relationship Type="http://schemas.openxmlformats.org/officeDocument/2006/relationships/hyperlink" Target="https://networking-docs.nvidia.com/sn5000hw" TargetMode="External" Id="rId8"/><Relationship Type="http://schemas.openxmlformats.org/officeDocument/2006/relationships/hyperlink" Target="https://networking-docs.nvidia.com/sn4000hw" TargetMode="External" Id="rId9"/><Relationship Type="http://schemas.openxmlformats.org/officeDocument/2006/relationships/hyperlink" Target="https://networking-docs.nvidia.com/sn4000hw" TargetMode="External" Id="rId10"/><Relationship Type="http://schemas.openxmlformats.org/officeDocument/2006/relationships/hyperlink" Target="https://networking-docs.nvidia.com/sn3000hw" TargetMode="External" Id="rId11"/><Relationship Type="http://schemas.openxmlformats.org/officeDocument/2006/relationships/hyperlink" Target="https://networking-docs.nvidia.com/sn2201hw" TargetMode="External" Id="rId12"/><Relationship Type="http://schemas.openxmlformats.org/officeDocument/2006/relationships/hyperlink" Target="https://networking-docs.nvidia.com/sn4000hw" TargetMode="External" Id="rId13"/><Relationship Type="http://schemas.openxmlformats.org/officeDocument/2006/relationships/hyperlink" Target="https://networking-docs.nvidia.com/sn4000hw" TargetMode="External" Id="rId14"/></Relationships>
</file>

<file path=xl/worksheets/_rels/sheet9.xml.rels><Relationships xmlns="http://schemas.openxmlformats.org/package/2006/relationships"><Relationship Type="http://schemas.openxmlformats.org/officeDocument/2006/relationships/hyperlink" Target="https://networking-docs.nvidia.com/switches" TargetMode="External" Id="rId1"/><Relationship Type="http://schemas.openxmlformats.org/officeDocument/2006/relationships/hyperlink" Target="https://networking-docs.nvidia.com/switches" TargetMode="External" Id="rId2"/><Relationship Type="http://schemas.openxmlformats.org/officeDocument/2006/relationships/hyperlink" Target="https://networking-docs.nvidia.com/switches" TargetMode="External" Id="rId3"/><Relationship Type="http://schemas.openxmlformats.org/officeDocument/2006/relationships/hyperlink" Target="https://networking-docs.nvidia.com/switches" TargetMode="External" Id="rId4"/><Relationship Type="http://schemas.openxmlformats.org/officeDocument/2006/relationships/hyperlink" Target="https://networking-docs.nvidia.com/switches" TargetMode="External" Id="rId5"/><Relationship Type="http://schemas.openxmlformats.org/officeDocument/2006/relationships/hyperlink" Target="https://networking-docs.nvidia.com/skywayhw" TargetMode="External" Id="rId6"/><Relationship Type="http://schemas.openxmlformats.org/officeDocument/2006/relationships/hyperlink" Target="https://networking-docs.nvidia.com/metrox3xc" TargetMode="External" Id="rId7"/><Relationship Type="http://schemas.openxmlformats.org/officeDocument/2006/relationships/hyperlink" Target="https://networking-docs.nvidia.com/switches" TargetMode="External" Id="rId8"/><Relationship Type="http://schemas.openxmlformats.org/officeDocument/2006/relationships/hyperlink" Target="https://networking-docs.nvidia.com/switches" TargetMode="External" Id="rId9"/><Relationship Type="http://schemas.openxmlformats.org/officeDocument/2006/relationships/hyperlink" Target="https://networking-docs.nvidia.com/switches" TargetMode="External" Id="rId10"/><Relationship Type="http://schemas.openxmlformats.org/officeDocument/2006/relationships/hyperlink" Target="https://networking-docs.nvidia.com/skyway3hw" TargetMode="External" Id="rId11"/></Relationships>
</file>

<file path=xl/worksheets/_rels/sheet10.xml.rels><Relationships xmlns="http://schemas.openxmlformats.org/package/2006/relationships"><Relationship Type="http://schemas.openxmlformats.org/officeDocument/2006/relationships/hyperlink" Target="https://networking-docs.nvidia.com/xdrswitcheshw" TargetMode="External" Id="rId1"/><Relationship Type="http://schemas.openxmlformats.org/officeDocument/2006/relationships/hyperlink" Target="https://www.nvidia.com/en-us/networking/products/silicon-photonics/" TargetMode="External" Id="rId2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nvidia.com/en-eu/data-center/dgx-rubin-nvl8/" TargetMode="External" Id="rId1"/><Relationship Type="http://schemas.openxmlformats.org/officeDocument/2006/relationships/hyperlink" Target="https://www.nvidia.com/en-us/networking/products/data-processing-unit/" TargetMode="External" Id="rId2"/><Relationship Type="http://schemas.openxmlformats.org/officeDocument/2006/relationships/hyperlink" Target="https://networking-docs.nvidia.com/bf3dpu" TargetMode="External" Id="rId3"/></Relationships>
</file>

<file path=xl/worksheets/_rels/sheet12.xml.rels><Relationships xmlns="http://schemas.openxmlformats.org/package/2006/relationships"><Relationship Type="http://schemas.openxmlformats.org/officeDocument/2006/relationships/hyperlink" Target="https://networking-docs.nvidia.com/connectx9hw" TargetMode="External" Id="rId1"/><Relationship Type="http://schemas.openxmlformats.org/officeDocument/2006/relationships/hyperlink" Target="https://networking-docs.nvidia.com/connectx8hw" TargetMode="External" Id="rId2"/><Relationship Type="http://schemas.openxmlformats.org/officeDocument/2006/relationships/hyperlink" Target="https://networking-docs.nvidia.com/bf3dpu" TargetMode="External" Id="rId3"/></Relationships>
</file>

<file path=xl/worksheets/_rels/sheet13.xml.rels><Relationships xmlns="http://schemas.openxmlformats.org/package/2006/relationships"><Relationship Type="http://schemas.openxmlformats.org/officeDocument/2006/relationships/hyperlink" Target="https://networking-docs.nvidia.com/connectx9hw" TargetMode="External" Id="rId1"/><Relationship Type="http://schemas.openxmlformats.org/officeDocument/2006/relationships/hyperlink" Target="https://networking-docs.nvidia.com/connectx9hw" TargetMode="External" Id="rId2"/><Relationship Type="http://schemas.openxmlformats.org/officeDocument/2006/relationships/hyperlink" Target="https://networking-docs.nvidia.com/connectx8hw" TargetMode="External" Id="rId3"/><Relationship Type="http://schemas.openxmlformats.org/officeDocument/2006/relationships/hyperlink" Target="https://networking-docs.nvidia.com/connectx8hw" TargetMode="External" Id="rId4"/><Relationship Type="http://schemas.openxmlformats.org/officeDocument/2006/relationships/hyperlink" Target="https://networking-docs.nvidia.com/connectx7hw" TargetMode="External" Id="rId5"/><Relationship Type="http://schemas.openxmlformats.org/officeDocument/2006/relationships/hyperlink" Target="https://networking-docs.nvidia.com/adapters" TargetMode="External" Id="rId6"/><Relationship Type="http://schemas.openxmlformats.org/officeDocument/2006/relationships/hyperlink" Target="https://networking-docs.nvidia.com/adapters" TargetMode="External" Id="rId7"/><Relationship Type="http://schemas.openxmlformats.org/officeDocument/2006/relationships/hyperlink" Target="https://networking-docs.nvidia.com/adapters" TargetMode="External" Id="rId8"/></Relationships>
</file>

<file path=xl/worksheets/_rels/sheet14.xml.rels><Relationships xmlns="http://schemas.openxmlformats.org/package/2006/relationships"><Relationship Type="http://schemas.openxmlformats.org/officeDocument/2006/relationships/hyperlink" Target="https://networking-docs.nvidia.com/software/management-software/ufm-appliances" TargetMode="External" Id="rId1"/><Relationship Type="http://schemas.openxmlformats.org/officeDocument/2006/relationships/hyperlink" Target="https://networking-docs.nvidia.com/ufmenterprisexdrdchw/" TargetMode="External" Id="rId2"/><Relationship Type="http://schemas.openxmlformats.org/officeDocument/2006/relationships/hyperlink" Target="https://networking-docs.nvidia.com/ufm40cyberaiapphw" TargetMode="External" Id="rId3"/><Relationship Type="http://schemas.openxmlformats.org/officeDocument/2006/relationships/hyperlink" Target="https://networking-docs.nvidia.com/ufmenterprisehdrhwum" TargetMode="External" Id="rId4"/><Relationship Type="http://schemas.openxmlformats.org/officeDocument/2006/relationships/hyperlink" Target="https://networking-docs.nvidia.com/ufmenterprisendrhwum" TargetMode="External" Id="rId5"/><Relationship Type="http://schemas.openxmlformats.org/officeDocument/2006/relationships/hyperlink" Target="https://networking-docs.nvidia.com/ufmsdn25apphw" TargetMode="External" Id="rId6"/><Relationship Type="http://schemas.openxmlformats.org/officeDocument/2006/relationships/hyperlink" Target="https://networking-docs.nvidia.com/ufm45cyberaiapphw" TargetMode="External" Id="rId7"/></Relationships>
</file>

<file path=xl/worksheets/_rels/sheet15.xml.rels><Relationships xmlns="http://schemas.openxmlformats.org/package/2006/relationships"><Relationship Type="http://schemas.openxmlformats.org/officeDocument/2006/relationships/hyperlink" Target="https://networking-docs.nvidia.com/connectx5enhw" TargetMode="External" Id="rId1"/><Relationship Type="http://schemas.openxmlformats.org/officeDocument/2006/relationships/hyperlink" Target="https://networking-docs.nvidia.com/connectx4vpihw" TargetMode="External" Id="rId2"/><Relationship Type="http://schemas.openxmlformats.org/officeDocument/2006/relationships/hyperlink" Target="https://networking-docs.nvidia.com/connectx4lxhw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34" customWidth="1" style="9" min="2" max="2"/>
  </cols>
  <sheetData>
    <row r="1" ht="17.25" customHeight="1" s="10">
      <c r="A1" s="11" t="inlineStr">
        <is>
          <t>NVIDIA Network Equipment</t>
        </is>
      </c>
    </row>
    <row r="2" ht="15" customHeight="1" s="10">
      <c r="A2" s="9" t="inlineStr">
        <is>
          <t>Snapshot</t>
        </is>
      </c>
      <c r="B2" s="12" t="inlineStr">
        <is>
          <t>2026-10-26</t>
        </is>
      </c>
    </row>
    <row r="3" ht="15" customHeight="1" s="10">
      <c r="A3" s="9" t="inlineStr">
        <is>
          <t>Schema</t>
        </is>
      </c>
      <c r="B3" s="9" t="inlineStr">
        <is>
          <t>v10</t>
        </is>
      </c>
    </row>
    <row r="4" ht="15" customHeight="1" s="10">
      <c r="A4" s="9" t="inlineStr">
        <is>
          <t>Timezone</t>
        </is>
      </c>
      <c r="B4" s="9" t="inlineStr">
        <is>
          <t>Europe/Warsaw</t>
        </is>
      </c>
    </row>
    <row r="5" ht="15" customHeight="1" s="10">
      <c r="A5" s="9" t="inlineStr">
        <is>
          <t>Source</t>
        </is>
      </c>
      <c r="B5" s="9" t="inlineStr">
        <is>
          <t>data/nvidia-interconnects.json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Q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6" customWidth="1" style="9" min="1" max="1"/>
    <col width="40" customWidth="1" style="9" min="2" max="2"/>
    <col width="25" customWidth="1" style="9" min="3" max="3"/>
    <col width="36" customWidth="1" style="9" min="4" max="4"/>
    <col width="13" customWidth="1" style="9" min="5" max="5"/>
    <col width="55" customWidth="1" style="9" min="6" max="7"/>
    <col width="40" customWidth="1" style="9" min="8" max="8"/>
    <col width="32" customWidth="1" style="9" min="9" max="9"/>
    <col width="55" customWidth="1" style="9" min="10" max="10"/>
    <col width="10" customWidth="1" style="9" min="11" max="11"/>
    <col width="41" customWidth="1" style="9" min="12" max="12"/>
    <col width="12" customWidth="1" style="9" min="13" max="13"/>
    <col width="55" customWidth="1" style="9" min="14" max="15"/>
    <col hidden="1" width="13" customWidth="1" style="9" min="16" max="16"/>
    <col width="9" customWidth="1" style="9" min="17" max="17"/>
  </cols>
  <sheetData>
    <row r="1" ht="15" customHeight="1" s="10">
      <c r="A1" s="13" t="inlineStr">
        <is>
          <t>Section</t>
        </is>
      </c>
      <c r="B1" s="13" t="inlineStr">
        <is>
          <t>Model</t>
        </is>
      </c>
      <c r="C1" s="13" t="inlineStr">
        <is>
          <t>Variant</t>
        </is>
      </c>
      <c r="D1" s="13" t="inlineStr">
        <is>
          <t>Family</t>
        </is>
      </c>
      <c r="E1" s="13" t="inlineStr">
        <is>
          <t>Status</t>
        </is>
      </c>
      <c r="F1" s="13" t="inlineStr">
        <is>
          <t>Legacy OPN</t>
        </is>
      </c>
      <c r="G1" s="13" t="inlineStr">
        <is>
          <t>NVIDIA OPN</t>
        </is>
      </c>
      <c r="H1" s="13" t="inlineStr">
        <is>
          <t>Speed</t>
        </is>
      </c>
      <c r="I1" s="13" t="inlineStr">
        <is>
          <t>Form factor</t>
        </is>
      </c>
      <c r="J1" s="13" t="inlineStr">
        <is>
          <t>Interfaces</t>
        </is>
      </c>
      <c r="K1" s="13" t="inlineStr">
        <is>
          <t>Medium</t>
        </is>
      </c>
      <c r="L1" s="13" t="inlineStr">
        <is>
          <t>Reach</t>
        </is>
      </c>
      <c r="M1" s="13" t="inlineStr">
        <is>
          <t>Fabric</t>
        </is>
      </c>
      <c r="N1" s="13" t="inlineStr">
        <is>
          <t>Description</t>
        </is>
      </c>
      <c r="O1" s="13" t="inlineStr">
        <is>
          <t>Link</t>
        </is>
      </c>
      <c r="P1" s="13" t="inlineStr">
        <is>
          <t>Search text</t>
        </is>
      </c>
      <c r="Q1" s="13" t="inlineStr">
        <is>
          <t>Match #</t>
        </is>
      </c>
    </row>
    <row r="2" ht="15" customHeight="1" s="10">
      <c r="A2" s="9" t="inlineStr">
        <is>
          <t>Transceivers</t>
        </is>
      </c>
      <c r="B2" s="9" t="inlineStr">
        <is>
          <t>MMS4B10-XM</t>
        </is>
      </c>
      <c r="C2" s="9" t="inlineStr">
        <is>
          <t>RHS/TRO</t>
        </is>
      </c>
      <c r="E2" s="9" t="inlineStr">
        <is>
          <t>active</t>
        </is>
      </c>
      <c r="F2" s="9" t="inlineStr">
        <is>
          <t>—</t>
        </is>
      </c>
      <c r="G2" s="9" t="inlineStr">
        <is>
          <t>980-9IAJ0-00XM00</t>
        </is>
      </c>
      <c r="H2" s="9" t="inlineStr">
        <is>
          <t>1600G</t>
        </is>
      </c>
      <c r="I2" s="9" t="inlineStr">
        <is>
          <t>OSFP-flattop</t>
        </is>
      </c>
      <c r="J2" s="9" t="inlineStr">
        <is>
          <t>2x 800Gb/s MPO-12/APC</t>
        </is>
      </c>
      <c r="K2" s="9" t="inlineStr">
        <is>
          <t>SM</t>
        </is>
      </c>
      <c r="L2" s="9" t="inlineStr">
        <is>
          <t>max 500 m</t>
        </is>
      </c>
      <c r="M2" s="9" t="inlineStr">
        <is>
          <t>ETH</t>
        </is>
      </c>
      <c r="N2" s="9" t="inlineStr">
        <is>
          <t>MMS4B10-XM TRO 1600Gbps OSFP Twin-Port 2xDR4, 2xMPO (APC) 1310nm SMF Transceiver (up to 500m)</t>
        </is>
      </c>
      <c r="O2" s="14" t="inlineStr">
        <is>
          <t>https://networking-docs.nvidia.com/mms4b10xmtro1600g</t>
        </is>
      </c>
      <c r="P2" s="9" t="inlineStr">
        <is>
          <t>Transceivers MMS4B10-XM RHS/TRO  active — 980-9IAJ0-00XM00 1600G OSFP-flattop 2x 800Gb/s MPO-12/APC SM max 500 m ETH MMS4B10-XM TRO 1600Gbps OSFP Twin-Port 2xDR4, 2xMPO (APC) 1310nm SMF Transceiver (up to 500m)</t>
        </is>
      </c>
      <c r="Q2" s="9">
        <f>IF(AND(Search!$B$2&lt;&gt;"",ISNUMBER(SEARCH(Search!$B$2,P2))),MAX(Q$1:Q1)+1,"")</f>
        <v/>
      </c>
    </row>
    <row r="3" ht="15" customHeight="1" s="10">
      <c r="A3" s="9" t="inlineStr">
        <is>
          <t>Transceivers</t>
        </is>
      </c>
      <c r="B3" s="9" t="inlineStr">
        <is>
          <t>MMS4B10-XM</t>
        </is>
      </c>
      <c r="C3" s="9" t="inlineStr">
        <is>
          <t>IHS/TRO</t>
        </is>
      </c>
      <c r="E3" s="9" t="inlineStr">
        <is>
          <t>active</t>
        </is>
      </c>
      <c r="F3" s="9" t="inlineStr">
        <is>
          <t>—</t>
        </is>
      </c>
      <c r="G3" s="9" t="inlineStr">
        <is>
          <t>980-9IAJ0-00XM01</t>
        </is>
      </c>
      <c r="H3" s="9" t="inlineStr">
        <is>
          <t>1600G</t>
        </is>
      </c>
      <c r="I3" s="9" t="inlineStr">
        <is>
          <t>OSFP-finned</t>
        </is>
      </c>
      <c r="J3" s="9" t="inlineStr">
        <is>
          <t>2x 800Gb/s MPO-12/APC</t>
        </is>
      </c>
      <c r="K3" s="9" t="inlineStr">
        <is>
          <t>SM</t>
        </is>
      </c>
      <c r="L3" s="9" t="inlineStr">
        <is>
          <t>max 500 m</t>
        </is>
      </c>
      <c r="M3" s="9" t="inlineStr">
        <is>
          <t>ETH</t>
        </is>
      </c>
      <c r="N3" s="9" t="inlineStr">
        <is>
          <t>MMS4B10-XM TRO 1600Gbps OSFP Twin-Port 2xDR4, 2xMPO (APC) 1310nm SMF Transceiver (up to 500m)</t>
        </is>
      </c>
      <c r="O3" s="14" t="inlineStr">
        <is>
          <t>https://networking-docs.nvidia.com/mms4b10xmtro1600g</t>
        </is>
      </c>
      <c r="P3" s="9" t="inlineStr">
        <is>
          <t>Transceivers MMS4B10-XM IHS/TRO  active — 980-9IAJ0-00XM01 1600G OSFP-finned 2x 800Gb/s MPO-12/APC SM max 500 m ETH MMS4B10-XM TRO 1600Gbps OSFP Twin-Port 2xDR4, 2xMPO (APC) 1310nm SMF Transceiver (up to 500m)</t>
        </is>
      </c>
      <c r="Q3" s="9">
        <f>IF(AND(Search!$B$2&lt;&gt;"",ISNUMBER(SEARCH(Search!$B$2,P3))),MAX(Q$1:Q2)+1,"")</f>
        <v/>
      </c>
    </row>
    <row r="4" ht="15" customHeight="1" s="10">
      <c r="A4" s="9" t="inlineStr">
        <is>
          <t>Transceivers</t>
        </is>
      </c>
      <c r="B4" s="9" t="inlineStr">
        <is>
          <t>MMS4C10</t>
        </is>
      </c>
      <c r="C4" s="9" t="inlineStr">
        <is>
          <t>RHS/FRO Gen2 (XDR)</t>
        </is>
      </c>
      <c r="E4" s="9" t="inlineStr">
        <is>
          <t>active</t>
        </is>
      </c>
      <c r="F4" s="9" t="inlineStr">
        <is>
          <t>—</t>
        </is>
      </c>
      <c r="G4" s="9" t="inlineStr">
        <is>
          <t>980-9IAU0-00XM00</t>
        </is>
      </c>
      <c r="H4" s="9" t="inlineStr">
        <is>
          <t>1600G</t>
        </is>
      </c>
      <c r="I4" s="9" t="inlineStr">
        <is>
          <t>OSFP-flattop</t>
        </is>
      </c>
      <c r="J4" s="9" t="inlineStr">
        <is>
          <t>2x 800Gb/s MPO-12/APC</t>
        </is>
      </c>
      <c r="K4" s="9" t="inlineStr">
        <is>
          <t>SM</t>
        </is>
      </c>
      <c r="L4" s="9" t="inlineStr">
        <is>
          <t>max 500 m</t>
        </is>
      </c>
      <c r="M4" s="9" t="inlineStr">
        <is>
          <t>IB</t>
        </is>
      </c>
      <c r="N4" s="9" t="inlineStr">
        <is>
          <t>NVIDIA MMS4C1X FRO 1600Gbps, 2xDR4, Twin-port OSFP, 2xMPO (APC), 1310nm Single Mode Transceiver (up to 500m)</t>
        </is>
      </c>
      <c r="O4" s="14" t="inlineStr">
        <is>
          <t>https://networking-docs.nvidia.com/9iau000xmosfptcvr1600</t>
        </is>
      </c>
      <c r="P4" s="9" t="inlineStr">
        <is>
          <t>Transceivers MMS4C10 RHS/FRO Gen2 (XDR)  active — 980-9IAU0-00XM00 1600G OSFP-flattop 2x 800Gb/s MPO-12/APC SM max 500 m IB NVIDIA MMS4C1X FRO 1600Gbps, 2xDR4, Twin-port OSFP, 2xMPO (APC), 1310nm Single Mode Transceiver (up to 500m)</t>
        </is>
      </c>
      <c r="Q4" s="9">
        <f>IF(AND(Search!$B$2&lt;&gt;"",ISNUMBER(SEARCH(Search!$B$2,P4))),MAX(Q$1:Q3)+1,"")</f>
        <v/>
      </c>
    </row>
    <row r="5" ht="15" customHeight="1" s="10">
      <c r="A5" s="9" t="inlineStr">
        <is>
          <t>Transceivers</t>
        </is>
      </c>
      <c r="B5" s="9" t="inlineStr">
        <is>
          <t>MMS4C10</t>
        </is>
      </c>
      <c r="C5" s="9" t="inlineStr">
        <is>
          <t>IHS/FRO Gen2 (XDR)</t>
        </is>
      </c>
      <c r="E5" s="9" t="inlineStr">
        <is>
          <t>active</t>
        </is>
      </c>
      <c r="F5" s="9" t="inlineStr">
        <is>
          <t>—</t>
        </is>
      </c>
      <c r="G5" s="9" t="inlineStr">
        <is>
          <t>980-9IAU0-00XM01</t>
        </is>
      </c>
      <c r="H5" s="9" t="inlineStr">
        <is>
          <t>1600G</t>
        </is>
      </c>
      <c r="I5" s="9" t="inlineStr">
        <is>
          <t>OSFP-finned</t>
        </is>
      </c>
      <c r="J5" s="9" t="inlineStr">
        <is>
          <t>2x 800Gb/s MPO-12/APC</t>
        </is>
      </c>
      <c r="K5" s="9" t="inlineStr">
        <is>
          <t>SM</t>
        </is>
      </c>
      <c r="L5" s="9" t="inlineStr">
        <is>
          <t>max 500 m</t>
        </is>
      </c>
      <c r="M5" s="9" t="inlineStr">
        <is>
          <t>IB</t>
        </is>
      </c>
      <c r="N5" s="9" t="inlineStr">
        <is>
          <t>NVIDIA MMS4C1X FRO 1600Gbps, 2xDR4, Twin-port OSFP, 2xMPO (APC), 1310nm Single Mode Transceiver (up to 500m)</t>
        </is>
      </c>
      <c r="O5" s="14" t="inlineStr">
        <is>
          <t>https://networking-docs.nvidia.com/9iau000xmosfptcvr1600</t>
        </is>
      </c>
      <c r="P5" s="9" t="inlineStr">
        <is>
          <t>Transceivers MMS4C10 IHS/FRO Gen2 (XDR)  active — 980-9IAU0-00XM01 1600G OSFP-finned 2x 800Gb/s MPO-12/APC SM max 500 m IB NVIDIA MMS4C1X FRO 1600Gbps, 2xDR4, Twin-port OSFP, 2xMPO (APC), 1310nm Single Mode Transceiver (up to 500m)</t>
        </is>
      </c>
      <c r="Q5" s="9">
        <f>IF(AND(Search!$B$2&lt;&gt;"",ISNUMBER(SEARCH(Search!$B$2,P5))),MAX(Q$1:Q4)+1,"")</f>
        <v/>
      </c>
    </row>
    <row r="6" ht="15" customHeight="1" s="10">
      <c r="A6" s="9" t="inlineStr">
        <is>
          <t>Transceivers</t>
        </is>
      </c>
      <c r="B6" s="9" t="inlineStr">
        <is>
          <t>MMS4C11</t>
        </is>
      </c>
      <c r="C6" s="9" t="inlineStr">
        <is>
          <t>RHS/FRO Gen2 (Ethernet)</t>
        </is>
      </c>
      <c r="E6" s="9" t="inlineStr">
        <is>
          <t>active</t>
        </is>
      </c>
      <c r="F6" s="9" t="inlineStr">
        <is>
          <t>—</t>
        </is>
      </c>
      <c r="G6" s="9" t="inlineStr">
        <is>
          <t>980-9IAU1-00XM00</t>
        </is>
      </c>
      <c r="H6" s="9" t="inlineStr">
        <is>
          <t>1600G</t>
        </is>
      </c>
      <c r="I6" s="9" t="inlineStr">
        <is>
          <t>OSFP-flattop</t>
        </is>
      </c>
      <c r="J6" s="9" t="inlineStr">
        <is>
          <t>2x 800Gb/s MPO-12/APC</t>
        </is>
      </c>
      <c r="K6" s="9" t="inlineStr">
        <is>
          <t>SM</t>
        </is>
      </c>
      <c r="L6" s="9" t="inlineStr">
        <is>
          <t>max 500 m</t>
        </is>
      </c>
      <c r="M6" s="9" t="inlineStr">
        <is>
          <t>ETH</t>
        </is>
      </c>
      <c r="N6" s="9" t="inlineStr">
        <is>
          <t>NVIDIA MMS4C1X FRO 1600Gbps, 2xDR4, Twin-port OSFP, 2xMPO (APC), 1310nm Single Mode Transceiver (up to 500m)</t>
        </is>
      </c>
      <c r="O6" s="14" t="inlineStr">
        <is>
          <t>https://networking-docs.nvidia.com/9iau000xmosfptcvr1600</t>
        </is>
      </c>
      <c r="P6" s="9" t="inlineStr">
        <is>
          <t>Transceivers MMS4C11 RHS/FRO Gen2 (Ethernet)  active — 980-9IAU1-00XM00 1600G OSFP-flattop 2x 800Gb/s MPO-12/APC SM max 500 m ETH NVIDIA MMS4C1X FRO 1600Gbps, 2xDR4, Twin-port OSFP, 2xMPO (APC), 1310nm Single Mode Transceiver (up to 500m)</t>
        </is>
      </c>
      <c r="Q6" s="9">
        <f>IF(AND(Search!$B$2&lt;&gt;"",ISNUMBER(SEARCH(Search!$B$2,P6))),MAX(Q$1:Q5)+1,"")</f>
        <v/>
      </c>
    </row>
    <row r="7" ht="15" customHeight="1" s="10">
      <c r="A7" s="9" t="inlineStr">
        <is>
          <t>Transceivers</t>
        </is>
      </c>
      <c r="B7" s="9" t="inlineStr">
        <is>
          <t>MMS4C11</t>
        </is>
      </c>
      <c r="C7" s="9" t="inlineStr">
        <is>
          <t>IHS/FRO Gen2 (Ethernet)</t>
        </is>
      </c>
      <c r="E7" s="9" t="inlineStr">
        <is>
          <t>active</t>
        </is>
      </c>
      <c r="F7" s="9" t="inlineStr">
        <is>
          <t>—</t>
        </is>
      </c>
      <c r="G7" s="9" t="inlineStr">
        <is>
          <t>980-9IAU1-00XM01</t>
        </is>
      </c>
      <c r="H7" s="9" t="inlineStr">
        <is>
          <t>1600G</t>
        </is>
      </c>
      <c r="I7" s="9" t="inlineStr">
        <is>
          <t>OSFP-finned</t>
        </is>
      </c>
      <c r="J7" s="9" t="inlineStr">
        <is>
          <t>2x 800Gb/s MPO-12/APC</t>
        </is>
      </c>
      <c r="K7" s="9" t="inlineStr">
        <is>
          <t>SM</t>
        </is>
      </c>
      <c r="L7" s="9" t="inlineStr">
        <is>
          <t>max 500 m</t>
        </is>
      </c>
      <c r="M7" s="9" t="inlineStr">
        <is>
          <t>ETH</t>
        </is>
      </c>
      <c r="N7" s="9" t="inlineStr">
        <is>
          <t>NVIDIA MMS4C1X FRO 1600Gbps, 2xDR4, Twin-port OSFP, 2xMPO (APC), 1310nm Single Mode Transceiver (up to 500m)</t>
        </is>
      </c>
      <c r="O7" s="14" t="inlineStr">
        <is>
          <t>https://networking-docs.nvidia.com/9iau000xmosfptcvr1600</t>
        </is>
      </c>
      <c r="P7" s="9" t="inlineStr">
        <is>
          <t>Transceivers MMS4C11 IHS/FRO Gen2 (Ethernet)  active — 980-9IAU1-00XM01 1600G OSFP-finned 2x 800Gb/s MPO-12/APC SM max 500 m ETH NVIDIA MMS4C1X FRO 1600Gbps, 2xDR4, Twin-port OSFP, 2xMPO (APC), 1310nm Single Mode Transceiver (up to 500m)</t>
        </is>
      </c>
      <c r="Q7" s="9">
        <f>IF(AND(Search!$B$2&lt;&gt;"",ISNUMBER(SEARCH(Search!$B$2,P7))),MAX(Q$1:Q6)+1,"")</f>
        <v/>
      </c>
    </row>
    <row r="8" ht="15" customHeight="1" s="10">
      <c r="A8" s="9" t="inlineStr">
        <is>
          <t>Transceivers</t>
        </is>
      </c>
      <c r="B8" s="9" t="inlineStr">
        <is>
          <t>MMS4A00</t>
        </is>
      </c>
      <c r="C8" s="9" t="inlineStr">
        <is>
          <t>IHS</t>
        </is>
      </c>
      <c r="E8" s="9" t="inlineStr">
        <is>
          <t>active</t>
        </is>
      </c>
      <c r="F8" s="9" t="inlineStr">
        <is>
          <t>MMS4A00</t>
        </is>
      </c>
      <c r="G8" s="9" t="inlineStr">
        <is>
          <t>980-9IAH1-00XM00</t>
        </is>
      </c>
      <c r="H8" s="9" t="inlineStr">
        <is>
          <t>1600G</t>
        </is>
      </c>
      <c r="I8" s="9" t="inlineStr">
        <is>
          <t>OSFP-finned</t>
        </is>
      </c>
      <c r="J8" s="9" t="inlineStr">
        <is>
          <t>2x 800Gb/s MPO-12/APC</t>
        </is>
      </c>
      <c r="K8" s="9" t="inlineStr">
        <is>
          <t>SM</t>
        </is>
      </c>
      <c r="L8" s="9" t="inlineStr">
        <is>
          <t>max 500 m</t>
        </is>
      </c>
      <c r="M8" s="9" t="inlineStr">
        <is>
          <t>IB</t>
        </is>
      </c>
      <c r="N8" s="9" t="inlineStr">
        <is>
          <t>NVIDIA MMS4A00 1600Gbps, 2xDR4, Twin-port OSFP, 2xMPO, 1310nm Single Mode Transceiver (up to 500m)</t>
        </is>
      </c>
      <c r="O8" s="14" t="inlineStr">
        <is>
          <t>https://networking-docs.nvidia.com/9iahx00xmosfptcvr1600</t>
        </is>
      </c>
      <c r="P8" s="9" t="inlineStr">
        <is>
          <t>Transceivers MMS4A00 IHS  active MMS4A00 980-9IAH1-00XM00 1600G OSFP-finned 2x 800Gb/s MPO-12/APC SM max 500 m IB NVIDIA MMS4A00 1600Gbps, 2xDR4, Twin-port OSFP, 2xMPO, 1310nm Single Mode Transceiver (up to 500m)</t>
        </is>
      </c>
      <c r="Q8" s="9">
        <f>IF(AND(Search!$B$2&lt;&gt;"",ISNUMBER(SEARCH(Search!$B$2,P8))),MAX(Q$1:Q7)+1,"")</f>
        <v/>
      </c>
    </row>
    <row r="9" ht="15" customHeight="1" s="10">
      <c r="A9" s="9" t="inlineStr">
        <is>
          <t>Transceivers</t>
        </is>
      </c>
      <c r="B9" s="9" t="inlineStr">
        <is>
          <t>MMS4A00</t>
        </is>
      </c>
      <c r="C9" s="9" t="inlineStr">
        <is>
          <t>RHS</t>
        </is>
      </c>
      <c r="E9" s="9" t="inlineStr">
        <is>
          <t>planned</t>
        </is>
      </c>
      <c r="F9" s="9" t="inlineStr">
        <is>
          <t>—</t>
        </is>
      </c>
      <c r="G9" s="9" t="inlineStr">
        <is>
          <t>980-9IAH0-00XM00</t>
        </is>
      </c>
      <c r="H9" s="9" t="inlineStr">
        <is>
          <t>1600G</t>
        </is>
      </c>
      <c r="I9" s="9" t="inlineStr">
        <is>
          <t>OSFP-flattop</t>
        </is>
      </c>
      <c r="J9" s="9" t="inlineStr">
        <is>
          <t>2x 800Gb/s MPO-12/APC</t>
        </is>
      </c>
      <c r="K9" s="9" t="inlineStr">
        <is>
          <t>SM</t>
        </is>
      </c>
      <c r="L9" s="9" t="inlineStr">
        <is>
          <t>max 500 m</t>
        </is>
      </c>
      <c r="M9" s="9" t="inlineStr">
        <is>
          <t>IB</t>
        </is>
      </c>
      <c r="N9" s="9" t="inlineStr">
        <is>
          <t>NVIDIA MMS4A00 1600Gbps, 2xDR4, Twin-port OSFP, 2xMPO, 1310nm Single Mode Transceiver (up to 500m)</t>
        </is>
      </c>
      <c r="O9" s="14" t="inlineStr">
        <is>
          <t>https://networking-docs.nvidia.com/9iahx00xmosfptcvr1600</t>
        </is>
      </c>
      <c r="P9" s="9" t="inlineStr">
        <is>
          <t>Transceivers MMS4A00 RHS  planned — 980-9IAH0-00XM00 1600G OSFP-flattop 2x 800Gb/s MPO-12/APC SM max 500 m IB NVIDIA MMS4A00 1600Gbps, 2xDR4, Twin-port OSFP, 2xMPO, 1310nm Single Mode Transceiver (up to 500m)</t>
        </is>
      </c>
      <c r="Q9" s="9">
        <f>IF(AND(Search!$B$2&lt;&gt;"",ISNUMBER(SEARCH(Search!$B$2,P9))),MAX(Q$1:Q8)+1,"")</f>
        <v/>
      </c>
    </row>
    <row r="10" ht="15" customHeight="1" s="10">
      <c r="A10" s="9" t="inlineStr">
        <is>
          <t>Transceivers</t>
        </is>
      </c>
      <c r="B10" s="9" t="inlineStr">
        <is>
          <t>MMS4A50</t>
        </is>
      </c>
      <c r="C10" s="9" t="inlineStr">
        <is>
          <t>RHS</t>
        </is>
      </c>
      <c r="E10" s="9" t="inlineStr">
        <is>
          <t>active</t>
        </is>
      </c>
      <c r="F10" s="9" t="inlineStr">
        <is>
          <t>—</t>
        </is>
      </c>
      <c r="G10" s="9" t="inlineStr">
        <is>
          <t>980-9IAS1-00XM00</t>
        </is>
      </c>
      <c r="H10" s="9" t="inlineStr">
        <is>
          <t>1600G</t>
        </is>
      </c>
      <c r="I10" s="9" t="inlineStr">
        <is>
          <t>OSFP-flattop</t>
        </is>
      </c>
      <c r="J10" s="9" t="inlineStr">
        <is>
          <t>2x 800Gb/s Dual LC Duplex</t>
        </is>
      </c>
      <c r="K10" s="9" t="inlineStr">
        <is>
          <t>SM</t>
        </is>
      </c>
      <c r="L10" s="9" t="inlineStr">
        <is>
          <t>max 2000 m</t>
        </is>
      </c>
      <c r="M10" s="9" t="inlineStr">
        <is>
          <t>IB/ETH</t>
        </is>
      </c>
      <c r="N10" s="9" t="inlineStr">
        <is>
          <t>NVIDIA MMS4A50 1600Gbps, OSFP, 2xLC-LC, 1310nm SMF, 2xFR4 Twin-port Transceiver (up to 2km)</t>
        </is>
      </c>
      <c r="O10" s="14" t="inlineStr">
        <is>
          <t>https://networking-docs.nvidia.com/mms4a501600gosfp</t>
        </is>
      </c>
      <c r="P10" s="9" t="inlineStr">
        <is>
          <t>Transceivers MMS4A50 RHS  active — 980-9IAS1-00XM00 1600G OSFP-flattop 2x 800Gb/s Dual LC Duplex SM max 2000 m IB/ETH NVIDIA MMS4A50 1600Gbps, OSFP, 2xLC-LC, 1310nm SMF, 2xFR4 Twin-port Transceiver (up to 2km)</t>
        </is>
      </c>
      <c r="Q10" s="9">
        <f>IF(AND(Search!$B$2&lt;&gt;"",ISNUMBER(SEARCH(Search!$B$2,P10))),MAX(Q$1:Q9)+1,"")</f>
        <v/>
      </c>
    </row>
    <row r="11" ht="15" customHeight="1" s="10">
      <c r="A11" s="9" t="inlineStr">
        <is>
          <t>Transceivers</t>
        </is>
      </c>
      <c r="B11" s="9" t="inlineStr">
        <is>
          <t>MMS4A50</t>
        </is>
      </c>
      <c r="C11" s="9" t="inlineStr">
        <is>
          <t>IHS</t>
        </is>
      </c>
      <c r="E11" s="9" t="inlineStr">
        <is>
          <t>active</t>
        </is>
      </c>
      <c r="F11" s="9" t="inlineStr">
        <is>
          <t>—</t>
        </is>
      </c>
      <c r="G11" s="9" t="inlineStr">
        <is>
          <t>980-9IAS0-00XM00</t>
        </is>
      </c>
      <c r="H11" s="9" t="inlineStr">
        <is>
          <t>1600G</t>
        </is>
      </c>
      <c r="I11" s="9" t="inlineStr">
        <is>
          <t>OSFP-finned</t>
        </is>
      </c>
      <c r="J11" s="9" t="inlineStr">
        <is>
          <t>2x 800Gb/s Dual LC Duplex</t>
        </is>
      </c>
      <c r="K11" s="9" t="inlineStr">
        <is>
          <t>SM</t>
        </is>
      </c>
      <c r="L11" s="9" t="inlineStr">
        <is>
          <t>max 2000 m</t>
        </is>
      </c>
      <c r="M11" s="9" t="inlineStr">
        <is>
          <t>IB/ETH</t>
        </is>
      </c>
      <c r="N11" s="9" t="inlineStr">
        <is>
          <t>NVIDIA MMS4A50 1600Gbps, OSFP, 2xLC-LC, 1310nm SMF, 2xFR4 Twin-port Transceiver (up to 2km)</t>
        </is>
      </c>
      <c r="O11" s="14" t="inlineStr">
        <is>
          <t>https://networking-docs.nvidia.com/mms4a501600gosfp</t>
        </is>
      </c>
      <c r="P11" s="9" t="inlineStr">
        <is>
          <t>Transceivers MMS4A50 IHS  active — 980-9IAS0-00XM00 1600G OSFP-finned 2x 800Gb/s Dual LC Duplex SM max 2000 m IB/ETH NVIDIA MMS4A50 1600Gbps, OSFP, 2xLC-LC, 1310nm SMF, 2xFR4 Twin-port Transceiver (up to 2km)</t>
        </is>
      </c>
      <c r="Q11" s="9">
        <f>IF(AND(Search!$B$2&lt;&gt;"",ISNUMBER(SEARCH(Search!$B$2,P11))),MAX(Q$1:Q10)+1,"")</f>
        <v/>
      </c>
    </row>
    <row r="12" ht="15" customHeight="1" s="10">
      <c r="A12" s="9" t="inlineStr">
        <is>
          <t>Transceivers</t>
        </is>
      </c>
      <c r="B12" s="9" t="inlineStr">
        <is>
          <t>MMA1Z00-NS400</t>
        </is>
      </c>
      <c r="C12" s="9" t="inlineStr">
        <is>
          <t>—</t>
        </is>
      </c>
      <c r="E12" s="9" t="inlineStr">
        <is>
          <t>active</t>
        </is>
      </c>
      <c r="F12" s="9" t="inlineStr">
        <is>
          <t>MMA1Z00-NS400</t>
        </is>
      </c>
      <c r="G12" s="9" t="inlineStr">
        <is>
          <t>980-9I693-00NS00</t>
        </is>
      </c>
      <c r="H12" s="9" t="inlineStr">
        <is>
          <t>400G</t>
        </is>
      </c>
      <c r="I12" s="9" t="inlineStr">
        <is>
          <t>QSFP112</t>
        </is>
      </c>
      <c r="J12" s="9" t="inlineStr">
        <is>
          <t>1x 400Gb/s MPO-12/APC</t>
        </is>
      </c>
      <c r="K12" s="9" t="inlineStr">
        <is>
          <t>MM</t>
        </is>
      </c>
      <c r="L12" s="9" t="inlineStr">
        <is>
          <t>OM3 30 m, OM4 50 m, max 50 m</t>
        </is>
      </c>
      <c r="M12" s="9" t="inlineStr">
        <is>
          <t>IB/ETH</t>
        </is>
      </c>
      <c r="N12" s="9" t="inlineStr">
        <is>
          <t>MMA1Z00-NS400 400Gb/s, Single-port, QSFP112 Multimode SR4 Transceivers Product Specifications</t>
        </is>
      </c>
      <c r="O12" s="14" t="inlineStr">
        <is>
          <t>https://networking-docs.nvidia.com/mms1z00ns400sr4</t>
        </is>
      </c>
      <c r="P12" s="9" t="inlineStr">
        <is>
          <t>Transceivers MMA1Z00-NS400 —  active MMA1Z00-NS400 980-9I693-00NS00 400G QSFP112 1x 400Gb/s MPO-12/APC MM OM3 30 m, OM4 50 m, max 50 m IB/ETH MMA1Z00-NS400 400Gb/s, Single-port, QSFP112 Multimode SR4 Transceivers Product Specifications</t>
        </is>
      </c>
      <c r="Q12" s="9">
        <f>IF(AND(Search!$B$2&lt;&gt;"",ISNUMBER(SEARCH(Search!$B$2,P12))),MAX(Q$1:Q11)+1,"")</f>
        <v/>
      </c>
    </row>
    <row r="13" ht="15" customHeight="1" s="10">
      <c r="A13" s="9" t="inlineStr">
        <is>
          <t>Transceivers</t>
        </is>
      </c>
      <c r="B13" s="9" t="inlineStr">
        <is>
          <t>MMS1V00-WM</t>
        </is>
      </c>
      <c r="C13" s="9" t="inlineStr">
        <is>
          <t>—</t>
        </is>
      </c>
      <c r="E13" s="9" t="inlineStr">
        <is>
          <t>active</t>
        </is>
      </c>
      <c r="F13" s="9" t="inlineStr">
        <is>
          <t>MMS1V00-WM</t>
        </is>
      </c>
      <c r="G13" s="9" t="inlineStr">
        <is>
          <t>980-9I16Y-00W000</t>
        </is>
      </c>
      <c r="H13" s="9" t="inlineStr">
        <is>
          <t>400G</t>
        </is>
      </c>
      <c r="I13" s="9" t="inlineStr">
        <is>
          <t>QSFP-DD</t>
        </is>
      </c>
      <c r="J13" s="9" t="inlineStr">
        <is>
          <t>1x 400Gb/s MPO-12/APC</t>
        </is>
      </c>
      <c r="K13" s="9" t="inlineStr">
        <is>
          <t>SM</t>
        </is>
      </c>
      <c r="L13" s="9" t="inlineStr">
        <is>
          <t>max 500 m</t>
        </is>
      </c>
      <c r="M13" s="9" t="inlineStr">
        <is>
          <t>ETH</t>
        </is>
      </c>
      <c r="N13" s="9" t="inlineStr">
        <is>
          <t>MMS1V00-WM 400GbE QSFP-DD DR4 Transceiver Product Specifications</t>
        </is>
      </c>
      <c r="O13" s="14" t="inlineStr">
        <is>
          <t>https://networking-docs.nvidia.com/mms1v00wm10</t>
        </is>
      </c>
      <c r="P13" s="9" t="inlineStr">
        <is>
          <t>Transceivers MMS1V00-WM —  active MMS1V00-WM 980-9I16Y-00W000 400G QSFP-DD 1x 400Gb/s MPO-12/APC SM max 500 m ETH MMS1V00-WM 400GbE QSFP-DD DR4 Transceiver Product Specifications</t>
        </is>
      </c>
      <c r="Q13" s="9">
        <f>IF(AND(Search!$B$2&lt;&gt;"",ISNUMBER(SEARCH(Search!$B$2,P13))),MAX(Q$1:Q12)+1,"")</f>
        <v/>
      </c>
    </row>
    <row r="14" ht="15" customHeight="1" s="10">
      <c r="A14" s="9" t="inlineStr">
        <is>
          <t>Transceivers</t>
        </is>
      </c>
      <c r="B14" s="9" t="inlineStr">
        <is>
          <t>MMS4X00-NS400</t>
        </is>
      </c>
      <c r="C14" s="9" t="inlineStr">
        <is>
          <t>—</t>
        </is>
      </c>
      <c r="E14" s="9" t="inlineStr">
        <is>
          <t>active</t>
        </is>
      </c>
      <c r="F14" s="9" t="inlineStr">
        <is>
          <t>MMS4X00-NS400</t>
        </is>
      </c>
      <c r="G14" s="9" t="inlineStr">
        <is>
          <t>980-9I31N-00NM00</t>
        </is>
      </c>
      <c r="H14" s="9" t="inlineStr">
        <is>
          <t>400G</t>
        </is>
      </c>
      <c r="I14" s="9" t="inlineStr">
        <is>
          <t>OSFP-flattop</t>
        </is>
      </c>
      <c r="J14" s="9" t="inlineStr">
        <is>
          <t>1x 400Gb/s MPO-12/APC</t>
        </is>
      </c>
      <c r="K14" s="9" t="inlineStr">
        <is>
          <t>SM</t>
        </is>
      </c>
      <c r="L14" s="9" t="inlineStr">
        <is>
          <t>max 100 m</t>
        </is>
      </c>
      <c r="M14" s="9" t="inlineStr">
        <is>
          <t>IB/ETH</t>
        </is>
      </c>
      <c r="N14" s="9" t="inlineStr">
        <is>
          <t>MMS4X00-NS400 400Gb/s Single-port OSFP Single Mode DR4 Transceivers Product Specifications</t>
        </is>
      </c>
      <c r="O14" s="14" t="inlineStr">
        <is>
          <t>https://networking-docs.nvidia.com/mms4x00ns400</t>
        </is>
      </c>
      <c r="P14" s="9" t="inlineStr">
        <is>
          <t>Transceivers MMS4X00-NS400 —  active MMS4X00-NS400 980-9I31N-00NM00 400G OSFP-flattop 1x 400Gb/s MPO-12/APC SM max 100 m IB/ETH MMS4X00-NS400 400Gb/s Single-port OSFP Single Mode DR4 Transceivers Product Specifications</t>
        </is>
      </c>
      <c r="Q14" s="9">
        <f>IF(AND(Search!$B$2&lt;&gt;"",ISNUMBER(SEARCH(Search!$B$2,P14))),MAX(Q$1:Q13)+1,"")</f>
        <v/>
      </c>
    </row>
    <row r="15" ht="15" customHeight="1" s="10">
      <c r="A15" s="9" t="inlineStr">
        <is>
          <t>Transceivers</t>
        </is>
      </c>
      <c r="B15" s="9" t="inlineStr">
        <is>
          <t>MMA4Z00-NS400</t>
        </is>
      </c>
      <c r="C15" s="9" t="inlineStr">
        <is>
          <t>—</t>
        </is>
      </c>
      <c r="E15" s="9" t="inlineStr">
        <is>
          <t>active</t>
        </is>
      </c>
      <c r="F15" s="9" t="inlineStr">
        <is>
          <t>MMA4Z00-NS400</t>
        </is>
      </c>
      <c r="G15" s="9" t="inlineStr">
        <is>
          <t>980-9I51S-00NS00</t>
        </is>
      </c>
      <c r="H15" s="9" t="inlineStr">
        <is>
          <t>400G</t>
        </is>
      </c>
      <c r="I15" s="9" t="inlineStr">
        <is>
          <t>OSFP-flattop</t>
        </is>
      </c>
      <c r="J15" s="9" t="inlineStr">
        <is>
          <t>1x 400Gb/s MPO-12/APC</t>
        </is>
      </c>
      <c r="K15" s="9" t="inlineStr">
        <is>
          <t>MM</t>
        </is>
      </c>
      <c r="L15" s="9" t="inlineStr">
        <is>
          <t>OM3 30 m, OM4 50 m, max 50 m</t>
        </is>
      </c>
      <c r="M15" s="9" t="inlineStr">
        <is>
          <t>IB/ETH</t>
        </is>
      </c>
      <c r="N15" s="9" t="inlineStr">
        <is>
          <t>MMA4Z00-NS400 400Gb/s Single-port OSFP 400Gb/s Multimode SR4 50m</t>
        </is>
      </c>
      <c r="O15" s="14" t="inlineStr">
        <is>
          <t>https://networking-docs.nvidia.com/mma4z00ns400</t>
        </is>
      </c>
      <c r="P15" s="9" t="inlineStr">
        <is>
          <t>Transceivers MMA4Z00-NS400 —  active MMA4Z00-NS400 980-9I51S-00NS00 400G OSFP-flattop 1x 400Gb/s MPO-12/APC MM OM3 30 m, OM4 50 m, max 50 m IB/ETH MMA4Z00-NS400 400Gb/s Single-port OSFP 400Gb/s Multimode SR4 50m</t>
        </is>
      </c>
      <c r="Q15" s="9">
        <f>IF(AND(Search!$B$2&lt;&gt;"",ISNUMBER(SEARCH(Search!$B$2,P15))),MAX(Q$1:Q14)+1,"")</f>
        <v/>
      </c>
    </row>
    <row r="16" ht="15" customHeight="1" s="10">
      <c r="A16" s="9" t="inlineStr">
        <is>
          <t>Transceivers</t>
        </is>
      </c>
      <c r="B16" s="9" t="inlineStr">
        <is>
          <t>MMA4Z00-NS400-T</t>
        </is>
      </c>
      <c r="C16" s="9" t="inlineStr">
        <is>
          <t>—</t>
        </is>
      </c>
      <c r="E16" s="9" t="inlineStr">
        <is>
          <t>active</t>
        </is>
      </c>
      <c r="F16" s="9" t="inlineStr">
        <is>
          <t>MMA4Z00-NS400-T</t>
        </is>
      </c>
      <c r="G16" s="9" t="inlineStr">
        <is>
          <t>980-9I51S-F4NS00</t>
        </is>
      </c>
      <c r="H16" s="9" t="inlineStr">
        <is>
          <t>400G</t>
        </is>
      </c>
      <c r="I16" s="9" t="inlineStr">
        <is>
          <t>OSFP-flattop</t>
        </is>
      </c>
      <c r="J16" s="9" t="inlineStr">
        <is>
          <t>1x 400Gb/s MPO-12/APC</t>
        </is>
      </c>
      <c r="K16" s="9" t="inlineStr">
        <is>
          <t>MM</t>
        </is>
      </c>
      <c r="L16" s="9" t="inlineStr">
        <is>
          <t>max 50 m</t>
        </is>
      </c>
      <c r="M16" s="9" t="inlineStr">
        <is>
          <t>ETH</t>
        </is>
      </c>
      <c r="N16" s="9" t="inlineStr">
        <is>
          <t>MMA4Z00-NS400-T 400Gb/s Single-port OSFP 400Gb/s Multimode 50m</t>
        </is>
      </c>
      <c r="O16" s="14" t="inlineStr">
        <is>
          <t>https://networking-docs.nvidia.com/mma4z00ns400t</t>
        </is>
      </c>
      <c r="P16" s="9" t="inlineStr">
        <is>
          <t>Transceivers MMA4Z00-NS400-T —  active MMA4Z00-NS400-T 980-9I51S-F4NS00 400G OSFP-flattop 1x 400Gb/s MPO-12/APC MM max 50 m ETH MMA4Z00-NS400-T 400Gb/s Single-port OSFP 400Gb/s Multimode 50m</t>
        </is>
      </c>
      <c r="Q16" s="9">
        <f>IF(AND(Search!$B$2&lt;&gt;"",ISNUMBER(SEARCH(Search!$B$2,P16))),MAX(Q$1:Q15)+1,"")</f>
        <v/>
      </c>
    </row>
    <row r="17" ht="15" customHeight="1" s="10">
      <c r="A17" s="9" t="inlineStr">
        <is>
          <t>Transceivers</t>
        </is>
      </c>
      <c r="B17" s="9" t="inlineStr">
        <is>
          <t>MMA1Z00-NS400-T</t>
        </is>
      </c>
      <c r="C17" s="9" t="inlineStr">
        <is>
          <t>—</t>
        </is>
      </c>
      <c r="E17" s="9" t="inlineStr">
        <is>
          <t>active</t>
        </is>
      </c>
      <c r="F17" s="9" t="inlineStr">
        <is>
          <t>MMA1Z00-NS400-T</t>
        </is>
      </c>
      <c r="G17" s="9" t="inlineStr">
        <is>
          <t>980-9I693-F4NS00</t>
        </is>
      </c>
      <c r="H17" s="9" t="inlineStr">
        <is>
          <t>400G</t>
        </is>
      </c>
      <c r="I17" s="9" t="inlineStr">
        <is>
          <t>QSFP112</t>
        </is>
      </c>
      <c r="J17" s="9" t="inlineStr">
        <is>
          <t>1x 400Gb/s MPO-12/APC</t>
        </is>
      </c>
      <c r="K17" s="9" t="inlineStr">
        <is>
          <t>MM</t>
        </is>
      </c>
      <c r="L17" s="9" t="inlineStr">
        <is>
          <t>max 50 m</t>
        </is>
      </c>
      <c r="M17" s="9" t="inlineStr">
        <is>
          <t>ETH</t>
        </is>
      </c>
      <c r="N17" s="9" t="inlineStr">
        <is>
          <t>NVIDIA MMA1Z00-NS400-T 400Gb/s, Single-port, QSFP112 Multimode Transceivers Product Specifications</t>
        </is>
      </c>
      <c r="O17" s="14" t="inlineStr">
        <is>
          <t>https://networking-docs.nvidia.com/mma1z00ns400t</t>
        </is>
      </c>
      <c r="P17" s="9" t="inlineStr">
        <is>
          <t>Transceivers MMA1Z00-NS400-T —  active MMA1Z00-NS400-T 980-9I693-F4NS00 400G QSFP112 1x 400Gb/s MPO-12/APC MM max 50 m ETH NVIDIA MMA1Z00-NS400-T 400Gb/s, Single-port, QSFP112 Multimode Transceivers Product Specifications</t>
        </is>
      </c>
      <c r="Q17" s="9">
        <f>IF(AND(Search!$B$2&lt;&gt;"",ISNUMBER(SEARCH(Search!$B$2,P17))),MAX(Q$1:Q16)+1,"")</f>
        <v/>
      </c>
    </row>
    <row r="18" ht="15" customHeight="1" s="10">
      <c r="A18" s="9" t="inlineStr">
        <is>
          <t>Transceivers</t>
        </is>
      </c>
      <c r="B18" s="9" t="inlineStr">
        <is>
          <t>MMS1X00-NS400</t>
        </is>
      </c>
      <c r="C18" s="9" t="inlineStr">
        <is>
          <t>—</t>
        </is>
      </c>
      <c r="E18" s="9" t="inlineStr">
        <is>
          <t>active</t>
        </is>
      </c>
      <c r="F18" s="9" t="inlineStr">
        <is>
          <t>MMS1X00-NS400</t>
        </is>
      </c>
      <c r="G18" s="9" t="inlineStr">
        <is>
          <t>980-9I068-00NM00</t>
        </is>
      </c>
      <c r="H18" s="9" t="inlineStr">
        <is>
          <t>400G</t>
        </is>
      </c>
      <c r="I18" s="9" t="inlineStr">
        <is>
          <t>QSFP112</t>
        </is>
      </c>
      <c r="J18" s="9" t="inlineStr">
        <is>
          <t>1x 400Gb/s MPO-12/APC</t>
        </is>
      </c>
      <c r="K18" s="9" t="inlineStr">
        <is>
          <t>SM</t>
        </is>
      </c>
      <c r="L18" s="9" t="inlineStr">
        <is>
          <t>max 500 m, ordering_descriptionax 100 m</t>
        </is>
      </c>
      <c r="M18" s="9" t="inlineStr">
        <is>
          <t>IB/ETH</t>
        </is>
      </c>
      <c r="N18" s="9" t="inlineStr">
        <is>
          <t>NVIDIA MMS1X00-NS400 400Gb/s Single-port QSFP112 Single Mode Transceivers Product Specifications</t>
        </is>
      </c>
      <c r="O18" s="14" t="inlineStr">
        <is>
          <t>https://networking-docs.nvidia.com/mms1x00ns400</t>
        </is>
      </c>
      <c r="P18" s="9" t="inlineStr">
        <is>
          <t>Transceivers MMS1X00-NS400 —  active MMS1X00-NS400 980-9I068-00NM00 400G QSFP112 1x 400Gb/s MPO-12/APC SM max 500 m, ordering_descriptionax 100 m IB/ETH NVIDIA MMS1X00-NS400 400Gb/s Single-port QSFP112 Single Mode Transceivers Product Specifications</t>
        </is>
      </c>
      <c r="Q18" s="9">
        <f>IF(AND(Search!$B$2&lt;&gt;"",ISNUMBER(SEARCH(Search!$B$2,P18))),MAX(Q$1:Q17)+1,"")</f>
        <v/>
      </c>
    </row>
    <row r="19" ht="15" customHeight="1" s="10">
      <c r="A19" s="9" t="inlineStr">
        <is>
          <t>Transceivers</t>
        </is>
      </c>
      <c r="B19" s="9" t="inlineStr">
        <is>
          <t>MMS1V70-CM</t>
        </is>
      </c>
      <c r="C19" s="9" t="inlineStr">
        <is>
          <t>—</t>
        </is>
      </c>
      <c r="E19" s="9" t="inlineStr">
        <is>
          <t>active</t>
        </is>
      </c>
      <c r="F19" s="9" t="inlineStr">
        <is>
          <t>MMS1V70-CM</t>
        </is>
      </c>
      <c r="G19" s="9" t="inlineStr">
        <is>
          <t>980-9I042-00C000</t>
        </is>
      </c>
      <c r="H19" s="9" t="inlineStr">
        <is>
          <t>100G</t>
        </is>
      </c>
      <c r="I19" s="9" t="inlineStr">
        <is>
          <t>QSFP28</t>
        </is>
      </c>
      <c r="J19" s="9" t="inlineStr">
        <is>
          <t>1x 100Gb/s LC duplex</t>
        </is>
      </c>
      <c r="K19" s="9" t="inlineStr">
        <is>
          <t>SM</t>
        </is>
      </c>
      <c r="L19" s="9" t="inlineStr">
        <is>
          <t>max 500 m</t>
        </is>
      </c>
      <c r="M19" s="9" t="inlineStr">
        <is>
          <t>ETH</t>
        </is>
      </c>
      <c r="N19" s="9" t="inlineStr">
        <is>
          <t>MMS1V70-CM 100GbE QSFP28 DR1</t>
        </is>
      </c>
      <c r="O19" s="14" t="inlineStr">
        <is>
          <t>https://networking-docs.nvidia.com/mms1v70cm10</t>
        </is>
      </c>
      <c r="P19" s="9" t="inlineStr">
        <is>
          <t>Transceivers MMS1V70-CM —  active MMS1V70-CM 980-9I042-00C000 100G QSFP28 1x 100Gb/s LC duplex SM max 500 m ETH MMS1V70-CM 100GbE QSFP28 DR1</t>
        </is>
      </c>
      <c r="Q19" s="9">
        <f>IF(AND(Search!$B$2&lt;&gt;"",ISNUMBER(SEARCH(Search!$B$2,P19))),MAX(Q$1:Q18)+1,"")</f>
        <v/>
      </c>
    </row>
    <row r="20" ht="15" customHeight="1" s="10">
      <c r="A20" s="9" t="inlineStr">
        <is>
          <t>Transceivers</t>
        </is>
      </c>
      <c r="B20" s="9" t="inlineStr">
        <is>
          <t>MMA1B00-C100D</t>
        </is>
      </c>
      <c r="C20" s="9" t="inlineStr">
        <is>
          <t>—</t>
        </is>
      </c>
      <c r="E20" s="9" t="inlineStr">
        <is>
          <t>active</t>
        </is>
      </c>
      <c r="F20" s="9" t="inlineStr">
        <is>
          <t>MMA1B00-C100D</t>
        </is>
      </c>
      <c r="G20" s="9" t="inlineStr">
        <is>
          <t>980-9I149-00CS00</t>
        </is>
      </c>
      <c r="H20" s="9" t="inlineStr">
        <is>
          <t>100G</t>
        </is>
      </c>
      <c r="I20" s="9" t="inlineStr">
        <is>
          <t>QSFP28</t>
        </is>
      </c>
      <c r="J20" s="9" t="inlineStr">
        <is>
          <t>1x 100Gb/s MPO-12/UPC</t>
        </is>
      </c>
      <c r="K20" s="9" t="inlineStr">
        <is>
          <t>MM</t>
        </is>
      </c>
      <c r="L20" s="9" t="inlineStr">
        <is>
          <t>OM3 70 m, OM4 100 m, max 100 m</t>
        </is>
      </c>
      <c r="M20" s="9" t="inlineStr">
        <is>
          <t>ETH</t>
        </is>
      </c>
      <c r="N20" s="9" t="inlineStr">
        <is>
          <t>MMA1B00-C100D 100GbE QSFP28 MMF SR4</t>
        </is>
      </c>
      <c r="O20" s="14" t="inlineStr">
        <is>
          <t>https://networking-docs.nvidia.com/mma1b00c100dspec</t>
        </is>
      </c>
      <c r="P20" s="9" t="inlineStr">
        <is>
          <t>Transceivers MMA1B00-C100D —  active MMA1B00-C100D 980-9I149-00CS00 100G QSFP28 1x 100Gb/s MPO-12/UPC MM OM3 70 m, OM4 100 m, max 100 m ETH MMA1B00-C100D 100GbE QSFP28 MMF SR4</t>
        </is>
      </c>
      <c r="Q20" s="9">
        <f>IF(AND(Search!$B$2&lt;&gt;"",ISNUMBER(SEARCH(Search!$B$2,P20))),MAX(Q$1:Q19)+1,"")</f>
        <v/>
      </c>
    </row>
    <row r="21" ht="15" customHeight="1" s="10">
      <c r="A21" s="9" t="inlineStr">
        <is>
          <t>Transceivers</t>
        </is>
      </c>
      <c r="B21" s="9" t="inlineStr">
        <is>
          <t>MMS4C10-XM800</t>
        </is>
      </c>
      <c r="C21" s="9" t="inlineStr">
        <is>
          <t>RHS/FRO Gen2</t>
        </is>
      </c>
      <c r="E21" s="9" t="inlineStr">
        <is>
          <t>prototype</t>
        </is>
      </c>
      <c r="F21" s="9" t="inlineStr">
        <is>
          <t>—</t>
        </is>
      </c>
      <c r="G21" s="9" t="inlineStr">
        <is>
          <t>980-9IAY0-00XM00</t>
        </is>
      </c>
      <c r="H21" s="9" t="inlineStr">
        <is>
          <t>800G</t>
        </is>
      </c>
      <c r="I21" s="9" t="inlineStr">
        <is>
          <t>OSFP-flattop</t>
        </is>
      </c>
      <c r="J21" s="9" t="inlineStr">
        <is>
          <t>1x 800Gb/s MPO-12/APC</t>
        </is>
      </c>
      <c r="K21" s="9" t="inlineStr">
        <is>
          <t>SM</t>
        </is>
      </c>
      <c r="L21" s="9" t="inlineStr">
        <is>
          <t>max 500 m</t>
        </is>
      </c>
      <c r="M21" s="9" t="inlineStr">
        <is>
          <t>IB/ETH</t>
        </is>
      </c>
      <c r="N21" s="9" t="inlineStr">
        <is>
          <t>NVIDIA MMS4C10-XM800 800Gbps, 2xDR4, Twin-port OSFP, 2xMPO (APC), 1310nm Single Mode Transceiver</t>
        </is>
      </c>
      <c r="O21" s="14" t="inlineStr">
        <is>
          <t>https://networking-docs.nvidia.com/mms4c1x800</t>
        </is>
      </c>
      <c r="P21" s="9" t="inlineStr">
        <is>
          <t>Transceivers MMS4C10-XM800 RHS/FRO Gen2  prototype — 980-9IAY0-00XM00 800G OSFP-flattop 1x 800Gb/s MPO-12/APC SM max 500 m IB/ETH NVIDIA MMS4C10-XM800 800Gbps, 2xDR4, Twin-port OSFP, 2xMPO (APC), 1310nm Single Mode Transceiver</t>
        </is>
      </c>
      <c r="Q21" s="9">
        <f>IF(AND(Search!$B$2&lt;&gt;"",ISNUMBER(SEARCH(Search!$B$2,P21))),MAX(Q$1:Q20)+1,"")</f>
        <v/>
      </c>
    </row>
    <row r="22" ht="15" customHeight="1" s="10">
      <c r="A22" s="9" t="inlineStr">
        <is>
          <t>Transceivers</t>
        </is>
      </c>
      <c r="B22" s="9" t="inlineStr">
        <is>
          <t>MMS4X00-NM-T</t>
        </is>
      </c>
      <c r="C22" s="9" t="inlineStr">
        <is>
          <t>—</t>
        </is>
      </c>
      <c r="E22" s="9" t="inlineStr">
        <is>
          <t>active</t>
        </is>
      </c>
      <c r="F22" s="9" t="inlineStr">
        <is>
          <t>MMS4X00-NM-T</t>
        </is>
      </c>
      <c r="G22" s="9" t="inlineStr">
        <is>
          <t>980-9I30G-F4NM00</t>
        </is>
      </c>
      <c r="H22" s="9" t="inlineStr">
        <is>
          <t>800G</t>
        </is>
      </c>
      <c r="I22" s="9" t="inlineStr">
        <is>
          <t>OSFP-finned</t>
        </is>
      </c>
      <c r="J22" s="9" t="inlineStr">
        <is>
          <t>2x 400Gb/s MPO-12/APC</t>
        </is>
      </c>
      <c r="K22" s="9" t="inlineStr">
        <is>
          <t>SM</t>
        </is>
      </c>
      <c r="L22" s="9" t="inlineStr">
        <is>
          <t>max 500 m</t>
        </is>
      </c>
      <c r="M22" s="9" t="inlineStr">
        <is>
          <t>ETH</t>
        </is>
      </c>
      <c r="N22" s="9" t="inlineStr">
        <is>
          <t>MMS4X00-NM-T 800Gbps Twin-port OSFP 2x400Gb/s Single Mode 500m</t>
        </is>
      </c>
      <c r="O22" s="14" t="inlineStr">
        <is>
          <t>https://networking-docs.nvidia.com/mms4x00nmt800g</t>
        </is>
      </c>
      <c r="P22" s="9" t="inlineStr">
        <is>
          <t>Transceivers MMS4X00-NM-T —  active MMS4X00-NM-T 980-9I30G-F4NM00 800G OSFP-finned 2x 400Gb/s MPO-12/APC SM max 500 m ETH MMS4X00-NM-T 800Gbps Twin-port OSFP 2x400Gb/s Single Mode 500m</t>
        </is>
      </c>
      <c r="Q22" s="9">
        <f>IF(AND(Search!$B$2&lt;&gt;"",ISNUMBER(SEARCH(Search!$B$2,P22))),MAX(Q$1:Q21)+1,"")</f>
        <v/>
      </c>
    </row>
    <row r="23" ht="15" customHeight="1" s="10">
      <c r="A23" s="9" t="inlineStr">
        <is>
          <t>Transceivers</t>
        </is>
      </c>
      <c r="B23" s="9" t="inlineStr">
        <is>
          <t>MMS4X00-NM</t>
        </is>
      </c>
      <c r="C23" s="9" t="inlineStr">
        <is>
          <t>finned</t>
        </is>
      </c>
      <c r="E23" s="9" t="inlineStr">
        <is>
          <t>active</t>
        </is>
      </c>
      <c r="F23" s="9" t="inlineStr">
        <is>
          <t>MMS4X00-NM</t>
        </is>
      </c>
      <c r="G23" s="9" t="inlineStr">
        <is>
          <t>980-9I30G-00NM00</t>
        </is>
      </c>
      <c r="H23" s="9" t="inlineStr">
        <is>
          <t>800G</t>
        </is>
      </c>
      <c r="I23" s="9" t="inlineStr">
        <is>
          <t>OSFP-finned</t>
        </is>
      </c>
      <c r="J23" s="9" t="inlineStr">
        <is>
          <t>2x 400Gb/s MPO-12/APC</t>
        </is>
      </c>
      <c r="K23" s="9" t="inlineStr">
        <is>
          <t>SM</t>
        </is>
      </c>
      <c r="L23" s="9" t="inlineStr">
        <is>
          <t>max 500 m</t>
        </is>
      </c>
      <c r="M23" s="9" t="inlineStr">
        <is>
          <t>IB/ETH</t>
        </is>
      </c>
      <c r="N23" s="9" t="inlineStr">
        <is>
          <t>MMS4X00-NM 800Gbps Twin-port OSFP 2x400Gb/s InfiniBand and Ethernet Single Mode 2xDR4 500m</t>
        </is>
      </c>
      <c r="O23" s="14" t="inlineStr">
        <is>
          <t>https://networking-docs.nvidia.com/mms4x00nm800g500m</t>
        </is>
      </c>
      <c r="P23" s="9" t="inlineStr">
        <is>
          <t>Transceivers MMS4X00-NM finned  active MMS4X00-NM 980-9I30G-00NM00 800G OSFP-finned 2x 400Gb/s MPO-12/APC SM max 500 m IB/ETH MMS4X00-NM 800Gbps Twin-port OSFP 2x400Gb/s InfiniBand and Ethernet Single Mode 2xDR4 500m</t>
        </is>
      </c>
      <c r="Q23" s="9">
        <f>IF(AND(Search!$B$2&lt;&gt;"",ISNUMBER(SEARCH(Search!$B$2,P23))),MAX(Q$1:Q22)+1,"")</f>
        <v/>
      </c>
    </row>
    <row r="24" ht="15" customHeight="1" s="10">
      <c r="A24" s="9" t="inlineStr">
        <is>
          <t>Transceivers</t>
        </is>
      </c>
      <c r="B24" s="9" t="inlineStr">
        <is>
          <t>MMS4X00-NM-FLT</t>
        </is>
      </c>
      <c r="C24" s="9" t="inlineStr">
        <is>
          <t>flat-top</t>
        </is>
      </c>
      <c r="E24" s="9" t="inlineStr">
        <is>
          <t>active</t>
        </is>
      </c>
      <c r="F24" s="9" t="inlineStr">
        <is>
          <t>MMS4X00-NM-FLT</t>
        </is>
      </c>
      <c r="G24" s="9" t="inlineStr">
        <is>
          <t>980-9I301-00NM00</t>
        </is>
      </c>
      <c r="H24" s="9" t="inlineStr">
        <is>
          <t>800G</t>
        </is>
      </c>
      <c r="I24" s="9" t="inlineStr">
        <is>
          <t>OSFP-flattop</t>
        </is>
      </c>
      <c r="J24" s="9" t="inlineStr">
        <is>
          <t>2x 400Gb/s MPO-12/APC</t>
        </is>
      </c>
      <c r="K24" s="9" t="inlineStr">
        <is>
          <t>SM</t>
        </is>
      </c>
      <c r="L24" s="9" t="inlineStr">
        <is>
          <t>max 500 m</t>
        </is>
      </c>
      <c r="M24" s="9" t="inlineStr">
        <is>
          <t>IB/ETH</t>
        </is>
      </c>
      <c r="N24" s="9" t="inlineStr">
        <is>
          <t>MMS4X00-NM 800Gbps Twin-port OSFP 2x400Gb/s InfiniBand and Ethernet Single Mode 2xDR4 500m</t>
        </is>
      </c>
      <c r="O24" s="14" t="inlineStr">
        <is>
          <t>https://networking-docs.nvidia.com/mms4x00nm800g500m</t>
        </is>
      </c>
      <c r="P24" s="9" t="inlineStr">
        <is>
          <t>Transceivers MMS4X00-NM-FLT flat-top  active MMS4X00-NM-FLT 980-9I301-00NM00 800G OSFP-flattop 2x 400Gb/s MPO-12/APC SM max 500 m IB/ETH MMS4X00-NM 800Gbps Twin-port OSFP 2x400Gb/s InfiniBand and Ethernet Single Mode 2xDR4 500m</t>
        </is>
      </c>
      <c r="Q24" s="9">
        <f>IF(AND(Search!$B$2&lt;&gt;"",ISNUMBER(SEARCH(Search!$B$2,P24))),MAX(Q$1:Q23)+1,"")</f>
        <v/>
      </c>
    </row>
    <row r="25" ht="15" customHeight="1" s="10">
      <c r="A25" s="9" t="inlineStr">
        <is>
          <t>Transceivers</t>
        </is>
      </c>
      <c r="B25" s="9" t="inlineStr">
        <is>
          <t>MMS4X50-NM</t>
        </is>
      </c>
      <c r="C25" s="9" t="inlineStr">
        <is>
          <t>—</t>
        </is>
      </c>
      <c r="E25" s="9" t="inlineStr">
        <is>
          <t>active</t>
        </is>
      </c>
      <c r="F25" s="9" t="inlineStr">
        <is>
          <t>—</t>
        </is>
      </c>
      <c r="G25" s="9" t="inlineStr">
        <is>
          <t>980-9I30L-00N000</t>
        </is>
      </c>
      <c r="H25" s="9" t="inlineStr">
        <is>
          <t>800G</t>
        </is>
      </c>
      <c r="I25" s="9" t="inlineStr">
        <is>
          <t>OSFP-finned</t>
        </is>
      </c>
      <c r="J25" s="9" t="inlineStr">
        <is>
          <t>2x 400Gb/s Duplex LC</t>
        </is>
      </c>
      <c r="K25" s="9" t="inlineStr">
        <is>
          <t>SM</t>
        </is>
      </c>
      <c r="L25" s="9" t="inlineStr">
        <is>
          <t>max 2000 m</t>
        </is>
      </c>
      <c r="M25" s="9" t="inlineStr">
        <is>
          <t>IB/ETH</t>
        </is>
      </c>
      <c r="N25" s="9" t="inlineStr">
        <is>
          <t>MMS4X50-NM 800Gbps Twin-port OSFP 2xFR4, 2x400Gb/s Single Mode, 2km</t>
        </is>
      </c>
      <c r="O25" s="14" t="inlineStr">
        <is>
          <t>https://networking-docs.nvidia.com/mms4x50nm800g2kmpub</t>
        </is>
      </c>
      <c r="P25" s="9" t="inlineStr">
        <is>
          <t>Transceivers MMS4X50-NM —  active — 980-9I30L-00N000 800G OSFP-finned 2x 400Gb/s Duplex LC SM max 2000 m IB/ETH MMS4X50-NM 800Gbps Twin-port OSFP 2xFR4, 2x400Gb/s Single Mode, 2km</t>
        </is>
      </c>
      <c r="Q25" s="9">
        <f>IF(AND(Search!$B$2&lt;&gt;"",ISNUMBER(SEARCH(Search!$B$2,P25))),MAX(Q$1:Q24)+1,"")</f>
        <v/>
      </c>
    </row>
    <row r="26" ht="15" customHeight="1" s="10">
      <c r="A26" s="9" t="inlineStr">
        <is>
          <t>Transceivers</t>
        </is>
      </c>
      <c r="B26" s="9" t="inlineStr">
        <is>
          <t>MMS4X00-NS</t>
        </is>
      </c>
      <c r="C26" s="9" t="inlineStr">
        <is>
          <t>finned</t>
        </is>
      </c>
      <c r="E26" s="9" t="inlineStr">
        <is>
          <t>active</t>
        </is>
      </c>
      <c r="F26" s="9" t="inlineStr">
        <is>
          <t>MMS4X00-NS</t>
        </is>
      </c>
      <c r="G26" s="9" t="inlineStr">
        <is>
          <t>980-9I30H-00NM00</t>
        </is>
      </c>
      <c r="H26" s="9" t="inlineStr">
        <is>
          <t>800G</t>
        </is>
      </c>
      <c r="I26" s="9" t="inlineStr">
        <is>
          <t>OSFP-finned</t>
        </is>
      </c>
      <c r="J26" s="9" t="inlineStr">
        <is>
          <t>2x 400Gb/s MPO-12/APC</t>
        </is>
      </c>
      <c r="K26" s="9" t="inlineStr">
        <is>
          <t>SM</t>
        </is>
      </c>
      <c r="L26" s="9" t="inlineStr">
        <is>
          <t>max 100 m</t>
        </is>
      </c>
      <c r="M26" s="9" t="inlineStr">
        <is>
          <t>IB/ETH</t>
        </is>
      </c>
      <c r="N26" s="9" t="inlineStr">
        <is>
          <t>MMS4X00-NS 800Gbps Twin-port OSFP 2x400Gb/s Single Mode 2xDR4 100m</t>
        </is>
      </c>
      <c r="O26" s="14" t="inlineStr">
        <is>
          <t>https://networking-docs.nvidia.com/800gmms4x00ns</t>
        </is>
      </c>
      <c r="P26" s="9" t="inlineStr">
        <is>
          <t>Transceivers MMS4X00-NS finned  active MMS4X00-NS 980-9I30H-00NM00 800G OSFP-finned 2x 400Gb/s MPO-12/APC SM max 100 m IB/ETH MMS4X00-NS 800Gbps Twin-port OSFP 2x400Gb/s Single Mode 2xDR4 100m</t>
        </is>
      </c>
      <c r="Q26" s="9">
        <f>IF(AND(Search!$B$2&lt;&gt;"",ISNUMBER(SEARCH(Search!$B$2,P26))),MAX(Q$1:Q25)+1,"")</f>
        <v/>
      </c>
    </row>
    <row r="27" ht="15" customHeight="1" s="10">
      <c r="A27" s="9" t="inlineStr">
        <is>
          <t>Transceivers</t>
        </is>
      </c>
      <c r="B27" s="9" t="inlineStr">
        <is>
          <t>MMS4X00-NS-FLT</t>
        </is>
      </c>
      <c r="C27" s="9" t="inlineStr">
        <is>
          <t>flat-top</t>
        </is>
      </c>
      <c r="E27" s="9" t="inlineStr">
        <is>
          <t>active</t>
        </is>
      </c>
      <c r="F27" s="9" t="inlineStr">
        <is>
          <t>MMS4X00-NS-FLT</t>
        </is>
      </c>
      <c r="G27" s="9" t="inlineStr">
        <is>
          <t>980-9I30I-00NM00</t>
        </is>
      </c>
      <c r="H27" s="9" t="inlineStr">
        <is>
          <t>800G</t>
        </is>
      </c>
      <c r="I27" s="9" t="inlineStr">
        <is>
          <t>OSFP-flattop</t>
        </is>
      </c>
      <c r="J27" s="9" t="inlineStr">
        <is>
          <t>2x 400Gb/s MPO-12/APC</t>
        </is>
      </c>
      <c r="K27" s="9" t="inlineStr">
        <is>
          <t>SM</t>
        </is>
      </c>
      <c r="L27" s="9" t="inlineStr">
        <is>
          <t>max 100 m</t>
        </is>
      </c>
      <c r="M27" s="9" t="inlineStr">
        <is>
          <t>IB/ETH</t>
        </is>
      </c>
      <c r="N27" s="9" t="inlineStr">
        <is>
          <t>MMS4X00-NS 800Gbps Twin-port OSFP 2x400Gb/s Single Mode 2xDR4 100m</t>
        </is>
      </c>
      <c r="O27" s="14" t="inlineStr">
        <is>
          <t>https://networking-docs.nvidia.com/800gmms4x00ns</t>
        </is>
      </c>
      <c r="P27" s="9" t="inlineStr">
        <is>
          <t>Transceivers MMS4X00-NS-FLT flat-top  active MMS4X00-NS-FLT 980-9I30I-00NM00 800G OSFP-flattop 2x 400Gb/s MPO-12/APC SM max 100 m IB/ETH MMS4X00-NS 800Gbps Twin-port OSFP 2x400Gb/s Single Mode 2xDR4 100m</t>
        </is>
      </c>
      <c r="Q27" s="9">
        <f>IF(AND(Search!$B$2&lt;&gt;"",ISNUMBER(SEARCH(Search!$B$2,P27))),MAX(Q$1:Q26)+1,"")</f>
        <v/>
      </c>
    </row>
    <row r="28" ht="15" customHeight="1" s="10">
      <c r="A28" s="9" t="inlineStr">
        <is>
          <t>Transceivers</t>
        </is>
      </c>
      <c r="B28" s="9" t="inlineStr">
        <is>
          <t>MMA4Z00-NS-T</t>
        </is>
      </c>
      <c r="C28" s="9" t="inlineStr">
        <is>
          <t>—</t>
        </is>
      </c>
      <c r="E28" s="9" t="inlineStr">
        <is>
          <t>active</t>
        </is>
      </c>
      <c r="F28" s="9" t="inlineStr">
        <is>
          <t>MMA4Z00-NS-T</t>
        </is>
      </c>
      <c r="G28" s="9" t="inlineStr">
        <is>
          <t>980-9I510-F4NS00</t>
        </is>
      </c>
      <c r="H28" s="9" t="inlineStr">
        <is>
          <t>800G</t>
        </is>
      </c>
      <c r="I28" s="9" t="inlineStr">
        <is>
          <t>OSFP-finned</t>
        </is>
      </c>
      <c r="J28" s="9" t="inlineStr">
        <is>
          <t>2x 400Gb/s MPO-12/APC</t>
        </is>
      </c>
      <c r="K28" s="9" t="inlineStr">
        <is>
          <t>MM</t>
        </is>
      </c>
      <c r="L28" s="9" t="inlineStr">
        <is>
          <t>OM3 30 m, OM4 50 m, max 50 m</t>
        </is>
      </c>
      <c r="M28" s="9" t="inlineStr">
        <is>
          <t>ETH</t>
        </is>
      </c>
      <c r="N28" s="9" t="inlineStr">
        <is>
          <t>MMA4Z00-NS-T 800Gb/s Twin-port OSFP, 2x400Gb/s Multimode, 50m</t>
        </is>
      </c>
      <c r="O28" s="14" t="inlineStr">
        <is>
          <t>https://networking-docs.nvidia.com/800gmma4z00nst</t>
        </is>
      </c>
      <c r="P28" s="9" t="inlineStr">
        <is>
          <t>Transceivers MMA4Z00-NS-T —  active MMA4Z00-NS-T 980-9I510-F4NS00 800G OSFP-finned 2x 400Gb/s MPO-12/APC MM OM3 30 m, OM4 50 m, max 50 m ETH MMA4Z00-NS-T 800Gb/s Twin-port OSFP, 2x400Gb/s Multimode, 50m</t>
        </is>
      </c>
      <c r="Q28" s="9">
        <f>IF(AND(Search!$B$2&lt;&gt;"",ISNUMBER(SEARCH(Search!$B$2,P28))),MAX(Q$1:Q27)+1,"")</f>
        <v/>
      </c>
    </row>
    <row r="29" ht="15" customHeight="1" s="10">
      <c r="A29" s="9" t="inlineStr">
        <is>
          <t>Transceivers</t>
        </is>
      </c>
      <c r="B29" s="9" t="inlineStr">
        <is>
          <t>MMS4X00-NS-T</t>
        </is>
      </c>
      <c r="C29" s="9" t="inlineStr">
        <is>
          <t>—</t>
        </is>
      </c>
      <c r="E29" s="9" t="inlineStr">
        <is>
          <t>active</t>
        </is>
      </c>
      <c r="F29" s="9" t="inlineStr">
        <is>
          <t>MMS4X00-NS-T</t>
        </is>
      </c>
      <c r="G29" s="9" t="inlineStr">
        <is>
          <t>980-9I30H-F4NM00</t>
        </is>
      </c>
      <c r="H29" s="9" t="inlineStr">
        <is>
          <t>800G</t>
        </is>
      </c>
      <c r="I29" s="9" t="inlineStr">
        <is>
          <t>OSFP-finned</t>
        </is>
      </c>
      <c r="J29" s="9" t="inlineStr">
        <is>
          <t>2x 400Gb/s MPO-12/APC</t>
        </is>
      </c>
      <c r="K29" s="9" t="inlineStr">
        <is>
          <t>SM</t>
        </is>
      </c>
      <c r="L29" s="9" t="inlineStr">
        <is>
          <t>max 100 m</t>
        </is>
      </c>
      <c r="M29" s="9" t="inlineStr">
        <is>
          <t>ETH</t>
        </is>
      </c>
      <c r="N29" s="9" t="inlineStr">
        <is>
          <t>MMS4X00-NS-T 800Gbps Twin-port OSFP 2x400Gb/s Single Mode 100m</t>
        </is>
      </c>
      <c r="O29" s="14" t="inlineStr">
        <is>
          <t>https://networking-docs.nvidia.com/800gmms4x00nst</t>
        </is>
      </c>
      <c r="P29" s="9" t="inlineStr">
        <is>
          <t>Transceivers MMS4X00-NS-T —  active MMS4X00-NS-T 980-9I30H-F4NM00 800G OSFP-finned 2x 400Gb/s MPO-12/APC SM max 100 m ETH MMS4X00-NS-T 800Gbps Twin-port OSFP 2x400Gb/s Single Mode 100m</t>
        </is>
      </c>
      <c r="Q29" s="9">
        <f>IF(AND(Search!$B$2&lt;&gt;"",ISNUMBER(SEARCH(Search!$B$2,P29))),MAX(Q$1:Q28)+1,"")</f>
        <v/>
      </c>
    </row>
    <row r="30" ht="15" customHeight="1" s="10">
      <c r="A30" s="9" t="inlineStr">
        <is>
          <t>Transceivers</t>
        </is>
      </c>
      <c r="B30" s="9" t="inlineStr">
        <is>
          <t>MMS4A20</t>
        </is>
      </c>
      <c r="C30" s="9" t="inlineStr">
        <is>
          <t>RHS</t>
        </is>
      </c>
      <c r="E30" s="9" t="inlineStr">
        <is>
          <t>active</t>
        </is>
      </c>
      <c r="F30" s="9" t="inlineStr">
        <is>
          <t>—</t>
        </is>
      </c>
      <c r="G30" s="9" t="inlineStr">
        <is>
          <t>980-9IAT0-00XM00</t>
        </is>
      </c>
      <c r="H30" s="9" t="inlineStr">
        <is>
          <t>800G</t>
        </is>
      </c>
      <c r="I30" s="9" t="inlineStr">
        <is>
          <t>OSFP-flattop</t>
        </is>
      </c>
      <c r="J30" s="9" t="inlineStr">
        <is>
          <t>1x 800Gb/s MPO-12/APC</t>
        </is>
      </c>
      <c r="K30" s="9" t="inlineStr">
        <is>
          <t>SM</t>
        </is>
      </c>
      <c r="L30" s="9" t="inlineStr">
        <is>
          <t>max 500 m</t>
        </is>
      </c>
      <c r="M30" s="9" t="inlineStr">
        <is>
          <t>IB</t>
        </is>
      </c>
      <c r="N30" s="9" t="inlineStr">
        <is>
          <t>NVIDIA MMS4A20 800Gbps, DR4 Single-port OSFP, MPO, 1310nm Single Mode, RHS (500m) Transceiver</t>
        </is>
      </c>
      <c r="O30" s="14" t="inlineStr">
        <is>
          <t>https://networking-docs.nvidia.com/9iat0mosfp800sprhs</t>
        </is>
      </c>
      <c r="P30" s="9" t="inlineStr">
        <is>
          <t>Transceivers MMS4A20 RHS  active — 980-9IAT0-00XM00 800G OSFP-flattop 1x 800Gb/s MPO-12/APC SM max 500 m IB NVIDIA MMS4A20 800Gbps, DR4 Single-port OSFP, MPO, 1310nm Single Mode, RHS (500m) Transceiver</t>
        </is>
      </c>
      <c r="Q30" s="9">
        <f>IF(AND(Search!$B$2&lt;&gt;"",ISNUMBER(SEARCH(Search!$B$2,P30))),MAX(Q$1:Q29)+1,"")</f>
        <v/>
      </c>
    </row>
    <row r="31" ht="15" customHeight="1" s="10">
      <c r="A31" s="9" t="inlineStr">
        <is>
          <t>Transceivers</t>
        </is>
      </c>
      <c r="B31" s="9" t="inlineStr">
        <is>
          <t>MMS4X00-NM16</t>
        </is>
      </c>
      <c r="C31" s="9" t="inlineStr">
        <is>
          <t>—</t>
        </is>
      </c>
      <c r="E31" s="9" t="inlineStr">
        <is>
          <t>active</t>
        </is>
      </c>
      <c r="F31" s="9" t="inlineStr">
        <is>
          <t>MMS4X00-NM16</t>
        </is>
      </c>
      <c r="G31" s="9" t="inlineStr">
        <is>
          <t>980-9I30J-F4NM00</t>
        </is>
      </c>
      <c r="H31" s="9" t="inlineStr">
        <is>
          <t>800G</t>
        </is>
      </c>
      <c r="I31" s="9" t="inlineStr">
        <is>
          <t>OSFP-finned</t>
        </is>
      </c>
      <c r="J31" s="9" t="inlineStr">
        <is>
          <t>1x 800Gb/s MPO-16/APC</t>
        </is>
      </c>
      <c r="K31" s="9" t="inlineStr">
        <is>
          <t>SM</t>
        </is>
      </c>
      <c r="L31" s="9" t="inlineStr">
        <is>
          <t>max 500 m</t>
        </is>
      </c>
      <c r="M31" s="9" t="inlineStr">
        <is>
          <t>ETH</t>
        </is>
      </c>
      <c r="N31" s="9" t="inlineStr">
        <is>
          <t>MMS4X00-NM16 NVIDIA Ethernet 800Gbps OSFP Twin-port Finned Transceiver OSFP 1xMPO16 1310nm SMF up to 500m</t>
        </is>
      </c>
      <c r="O31" s="14" t="inlineStr">
        <is>
          <t>https://networking-docs.nvidia.com/mms4x00nm16</t>
        </is>
      </c>
      <c r="P31" s="9" t="inlineStr">
        <is>
          <t>Transceivers MMS4X00-NM16 —  active MMS4X00-NM16 980-9I30J-F4NM00 800G OSFP-finned 1x 800Gb/s MPO-16/APC SM max 500 m ETH MMS4X00-NM16 NVIDIA Ethernet 800Gbps OSFP Twin-port Finned Transceiver OSFP 1xMPO16 1310nm SMF up to 500m</t>
        </is>
      </c>
      <c r="Q31" s="9">
        <f>IF(AND(Search!$B$2&lt;&gt;"",ISNUMBER(SEARCH(Search!$B$2,P31))),MAX(Q$1:Q30)+1,"")</f>
        <v/>
      </c>
    </row>
    <row r="32" ht="15" customHeight="1" s="10">
      <c r="A32" s="9" t="inlineStr">
        <is>
          <t>Transceivers</t>
        </is>
      </c>
      <c r="B32" s="9" t="inlineStr">
        <is>
          <t>MMS4X00-NM-HGX</t>
        </is>
      </c>
      <c r="C32" s="9" t="inlineStr">
        <is>
          <t>HGX Rubin NVL8</t>
        </is>
      </c>
      <c r="E32" s="9" t="inlineStr">
        <is>
          <t>active</t>
        </is>
      </c>
      <c r="F32" s="9" t="inlineStr">
        <is>
          <t>MMS4X00-NM-HGX</t>
        </is>
      </c>
      <c r="G32" s="9" t="inlineStr">
        <is>
          <t>980-9I302-00NM00</t>
        </is>
      </c>
      <c r="H32" s="9" t="inlineStr">
        <is>
          <t>800G</t>
        </is>
      </c>
      <c r="I32" s="9" t="inlineStr">
        <is>
          <t>OSFP-flattop</t>
        </is>
      </c>
      <c r="J32" s="9" t="inlineStr">
        <is>
          <t>2x 400Gb/s MPO-12/APC</t>
        </is>
      </c>
      <c r="K32" s="9" t="inlineStr">
        <is>
          <t>SM</t>
        </is>
      </c>
      <c r="L32" s="9" t="inlineStr">
        <is>
          <t>max 500 m</t>
        </is>
      </c>
      <c r="M32" s="9" t="inlineStr">
        <is>
          <t>IB/ETH/NVL</t>
        </is>
      </c>
      <c r="N32" s="9" t="inlineStr">
        <is>
          <t>MMS4X00-NM-HGX 800Gbps Twin-port OSFP 2x400Gb/s InfiniBand and Ethernet Single Mode 2xDR4 500m</t>
        </is>
      </c>
      <c r="O32" s="14" t="inlineStr">
        <is>
          <t>https://networking-docs.nvidia.com/mms4x00nmhgx500</t>
        </is>
      </c>
      <c r="P32" s="9" t="inlineStr">
        <is>
          <t>Transceivers MMS4X00-NM-HGX HGX Rubin NVL8  active MMS4X00-NM-HGX 980-9I302-00NM00 800G OSFP-flattop 2x 400Gb/s MPO-12/APC SM max 500 m IB/ETH/NVL MMS4X00-NM-HGX 800Gbps Twin-port OSFP 2x400Gb/s InfiniBand and Ethernet Single Mode 2xDR4 500m</t>
        </is>
      </c>
      <c r="Q32" s="9">
        <f>IF(AND(Search!$B$2&lt;&gt;"",ISNUMBER(SEARCH(Search!$B$2,P32))),MAX(Q$1:Q31)+1,"")</f>
        <v/>
      </c>
    </row>
    <row r="33" ht="15" customHeight="1" s="10">
      <c r="A33" s="9" t="inlineStr">
        <is>
          <t>Transceivers</t>
        </is>
      </c>
      <c r="B33" s="9" t="inlineStr">
        <is>
          <t>MMS4X90-NR</t>
        </is>
      </c>
      <c r="C33" s="9" t="inlineStr">
        <is>
          <t>—</t>
        </is>
      </c>
      <c r="E33" s="9" t="inlineStr">
        <is>
          <t>active</t>
        </is>
      </c>
      <c r="F33" s="9" t="inlineStr">
        <is>
          <t>—</t>
        </is>
      </c>
      <c r="G33" s="9" t="inlineStr">
        <is>
          <t>—</t>
        </is>
      </c>
      <c r="H33" s="9" t="inlineStr">
        <is>
          <t>800G</t>
        </is>
      </c>
      <c r="I33" s="9" t="inlineStr">
        <is>
          <t>OSFP-finned</t>
        </is>
      </c>
      <c r="J33" s="9" t="inlineStr">
        <is>
          <t>2x 400Gb/s Duplex LC</t>
        </is>
      </c>
      <c r="K33" s="9" t="inlineStr">
        <is>
          <t>SM</t>
        </is>
      </c>
      <c r="L33" s="9" t="inlineStr">
        <is>
          <t>max 10000 m</t>
        </is>
      </c>
      <c r="M33" s="9" t="inlineStr">
        <is>
          <t>IB/ETH</t>
        </is>
      </c>
      <c r="N33" s="9" t="inlineStr">
        <is>
          <t>MMS4X90-NR 800Gbps, 2xLR4, OSFP, 2xLC-LC, 1310nm SMF, Finned Twin-port Transceiver (up to 10km)</t>
        </is>
      </c>
      <c r="O33" s="14" t="inlineStr">
        <is>
          <t>https://networking-docs.nvidia.com/mms4x90nr800g</t>
        </is>
      </c>
      <c r="P33" s="9" t="inlineStr">
        <is>
          <t>Transceivers MMS4X90-NR —  active — — 800G OSFP-finned 2x 400Gb/s Duplex LC SM max 10000 m IB/ETH MMS4X90-NR 800Gbps, 2xLR4, OSFP, 2xLC-LC, 1310nm SMF, Finned Twin-port Transceiver (up to 10km)</t>
        </is>
      </c>
      <c r="Q33" s="9">
        <f>IF(AND(Search!$B$2&lt;&gt;"",ISNUMBER(SEARCH(Search!$B$2,P33))),MAX(Q$1:Q32)+1,"")</f>
        <v/>
      </c>
    </row>
    <row r="34" ht="15" customHeight="1" s="10">
      <c r="A34" s="9" t="inlineStr">
        <is>
          <t>Transceivers</t>
        </is>
      </c>
      <c r="B34" s="9" t="inlineStr">
        <is>
          <t>MMS1W50-HM</t>
        </is>
      </c>
      <c r="C34" s="9" t="inlineStr">
        <is>
          <t>—</t>
        </is>
      </c>
      <c r="E34" s="9" t="inlineStr">
        <is>
          <t>active</t>
        </is>
      </c>
      <c r="F34" s="9" t="inlineStr">
        <is>
          <t>—</t>
        </is>
      </c>
      <c r="G34" s="9" t="inlineStr">
        <is>
          <t>MMS1W50-HM</t>
        </is>
      </c>
      <c r="H34" s="9" t="inlineStr">
        <is>
          <t>200G</t>
        </is>
      </c>
      <c r="I34" s="9" t="inlineStr">
        <is>
          <t>QSFP56</t>
        </is>
      </c>
      <c r="J34" s="9" t="inlineStr">
        <is>
          <t>1x 200Gb/s Duplex LC/UPC</t>
        </is>
      </c>
      <c r="K34" s="9" t="inlineStr">
        <is>
          <t>SM</t>
        </is>
      </c>
      <c r="L34" s="9" t="inlineStr">
        <is>
          <t>max 2000 m</t>
        </is>
      </c>
      <c r="M34" s="9" t="inlineStr">
        <is>
          <t>IB</t>
        </is>
      </c>
      <c r="N34" s="9" t="inlineStr">
        <is>
          <t>MMS1W50-HM 200Gb/s QSFP56 FR4</t>
        </is>
      </c>
      <c r="O34" s="14" t="inlineStr">
        <is>
          <t>https://networking-docs.nvidia.com/mms1w50hmspec</t>
        </is>
      </c>
      <c r="P34" s="9" t="inlineStr">
        <is>
          <t>Transceivers MMS1W50-HM —  active — MMS1W50-HM 200G QSFP56 1x 200Gb/s Duplex LC/UPC SM max 2000 m IB MMS1W50-HM 200Gb/s QSFP56 FR4</t>
        </is>
      </c>
      <c r="Q34" s="9">
        <f>IF(AND(Search!$B$2&lt;&gt;"",ISNUMBER(SEARCH(Search!$B$2,P34))),MAX(Q$1:Q33)+1,"")</f>
        <v/>
      </c>
    </row>
    <row r="35" ht="15" customHeight="1" s="10">
      <c r="A35" s="9" t="inlineStr">
        <is>
          <t>Transceivers</t>
        </is>
      </c>
      <c r="B35" s="9" t="inlineStr">
        <is>
          <t>MMA2P00-AS</t>
        </is>
      </c>
      <c r="C35" s="9" t="inlineStr">
        <is>
          <t>—</t>
        </is>
      </c>
      <c r="E35" s="9" t="inlineStr">
        <is>
          <t>active</t>
        </is>
      </c>
      <c r="F35" s="9" t="inlineStr">
        <is>
          <t>—</t>
        </is>
      </c>
      <c r="G35" s="9" t="inlineStr">
        <is>
          <t>MMA2P00-AS</t>
        </is>
      </c>
      <c r="H35" s="9" t="inlineStr">
        <is>
          <t>25G</t>
        </is>
      </c>
      <c r="I35" s="9" t="inlineStr">
        <is>
          <t>SFP28</t>
        </is>
      </c>
      <c r="J35" s="9" t="inlineStr">
        <is>
          <t>1x 25Gb/s Duplex LC/UPC</t>
        </is>
      </c>
      <c r="K35" s="9" t="inlineStr">
        <is>
          <t>MM</t>
        </is>
      </c>
      <c r="L35" s="9" t="inlineStr">
        <is>
          <t>OM3 70 m, OM4 100 m, max 100 m</t>
        </is>
      </c>
      <c r="M35" s="9" t="inlineStr">
        <is>
          <t>ETH</t>
        </is>
      </c>
      <c r="N35" s="9" t="inlineStr">
        <is>
          <t>MMA2P00-AS 25GbE SFP28 MMF Transceiver Product Specifications</t>
        </is>
      </c>
      <c r="O35" s="14" t="inlineStr">
        <is>
          <t>https://networking-docs.nvidia.com/mma2p00asspec</t>
        </is>
      </c>
      <c r="P35" s="9" t="inlineStr">
        <is>
          <t>Transceivers MMA2P00-AS —  active — MMA2P00-AS 25G SFP28 1x 25Gb/s Duplex LC/UPC MM OM3 70 m, OM4 100 m, max 100 m ETH MMA2P00-AS 25GbE SFP28 MMF Transceiver Product Specifications</t>
        </is>
      </c>
      <c r="Q35" s="9">
        <f>IF(AND(Search!$B$2&lt;&gt;"",ISNUMBER(SEARCH(Search!$B$2,P35))),MAX(Q$1:Q34)+1,"")</f>
        <v/>
      </c>
    </row>
    <row r="36" ht="15" customHeight="1" s="10">
      <c r="A36" s="9" t="inlineStr">
        <is>
          <t>AOC</t>
        </is>
      </c>
      <c r="B36" s="9" t="inlineStr">
        <is>
          <t>MFA7U10-H00x</t>
        </is>
      </c>
      <c r="C36" s="9" t="inlineStr">
        <is>
          <t>finned OSFP head</t>
        </is>
      </c>
      <c r="E36" s="9" t="inlineStr">
        <is>
          <t>active</t>
        </is>
      </c>
      <c r="F36" s="9" t="inlineStr">
        <is>
          <t>MFA7U10-H003 / MFA7U10-H005 / MFA7U10-H010 / MFA7U10-H015 / MFA7U10-H020 / MFA7U10-H030</t>
        </is>
      </c>
      <c r="G36" s="9" t="inlineStr">
        <is>
          <t>980-9I41X-00H003, 980-9I11Z-00H005, 980-9I111-00H010, 980-9I113-00H015, 980-9I115-00H020, 980-9I117-00H030</t>
        </is>
      </c>
      <c r="H36" s="9" t="inlineStr">
        <is>
          <t>400G</t>
        </is>
      </c>
      <c r="I36" s="9" t="inlineStr">
        <is>
          <t>OSFP-finned -&gt; 2xQSFP56</t>
        </is>
      </c>
      <c r="J36" s="9" t="inlineStr">
        <is>
          <t>2x 2x200Gb/s OSFP to 2xQSFP56</t>
        </is>
      </c>
      <c r="K36" s="9" t="inlineStr">
        <is>
          <t>MM</t>
        </is>
      </c>
      <c r="L36" s="9" t="inlineStr">
        <is>
          <t>max 30 m</t>
        </is>
      </c>
      <c r="M36" s="9" t="inlineStr">
        <is>
          <t>IB/ETH</t>
        </is>
      </c>
      <c r="N36" s="9" t="inlineStr">
        <is>
          <t>MFA7U10-H00x 400Gb/s OSFP to 2x200Gb/s QSFP56 HDR Active Optical Splitter Cable</t>
        </is>
      </c>
      <c r="O36" s="14" t="inlineStr">
        <is>
          <t>https://networking-docs.nvidia.com/mfa7u10h00x10</t>
        </is>
      </c>
      <c r="P36" s="9" t="inlineStr">
        <is>
          <t>AOC MFA7U10-H00x finned OSFP head  active MFA7U10-H003 / MFA7U10-H005 / MFA7U10-H010 / MFA7U10-H015 / MFA7U10-H020 / MFA7U10-H030 980-9I41X-00H003, 980-9I11Z-00H005, 980-9I111-00H010, 980-9I113-00H015, 980-9I115-00H020, 980-9I117-00H030 400G OSFP-finned -&gt; 2xQSFP56 2x 2x200Gb/s OSFP to 2xQSFP56 MM max 30 m IB/ETH MFA7U10-H00x 400Gb/s OSFP to 2x200Gb/s QSFP56 HDR Active Optical Splitter Cable</t>
        </is>
      </c>
      <c r="Q36" s="9">
        <f>IF(AND(Search!$B$2&lt;&gt;"",ISNUMBER(SEARCH(Search!$B$2,P36))),MAX(Q$1:Q35)+1,"")</f>
        <v/>
      </c>
    </row>
    <row r="37" ht="15" customHeight="1" s="10">
      <c r="A37" s="9" t="inlineStr">
        <is>
          <t>AOC</t>
        </is>
      </c>
      <c r="B37" s="9" t="inlineStr">
        <is>
          <t>MFA7U10-H00x-FLT</t>
        </is>
      </c>
      <c r="C37" s="9" t="inlineStr">
        <is>
          <t>flat-top OSFP head</t>
        </is>
      </c>
      <c r="E37" s="9" t="inlineStr">
        <is>
          <t>active</t>
        </is>
      </c>
      <c r="F37" s="9" t="inlineStr">
        <is>
          <t>MFA7U10-H003-FLT / MFA7U10-H005-FLT / MFA7U10-H010-FLT / MFA7U10-H015-FLT / MFA7U10-H020-FLT / MFA7U10-H030-FLT</t>
        </is>
      </c>
      <c r="G37" s="9" t="inlineStr">
        <is>
          <t>980-9I41Y-00H003, 980-9I110-00H005, 980-9I112-00H010, 980-9I114-00H015, 980-9I116-00H020, 980-9I118-00H030</t>
        </is>
      </c>
      <c r="H37" s="9" t="inlineStr">
        <is>
          <t>400G</t>
        </is>
      </c>
      <c r="I37" s="9" t="inlineStr">
        <is>
          <t>OSFP-flattop -&gt; 2xQSFP56</t>
        </is>
      </c>
      <c r="J37" s="9" t="inlineStr">
        <is>
          <t>2x 2x200Gb/s OSFP to 2xQSFP56</t>
        </is>
      </c>
      <c r="K37" s="9" t="inlineStr">
        <is>
          <t>MM</t>
        </is>
      </c>
      <c r="L37" s="9" t="inlineStr">
        <is>
          <t>max 30 m</t>
        </is>
      </c>
      <c r="M37" s="9" t="inlineStr">
        <is>
          <t>IB/ETH</t>
        </is>
      </c>
      <c r="N37" s="9" t="inlineStr">
        <is>
          <t>MFA7U10-H00x 400Gb/s OSFP to 2x200Gb/s QSFP56 HDR Active Optical Splitter Cable</t>
        </is>
      </c>
      <c r="O37" s="14" t="inlineStr">
        <is>
          <t>https://networking-docs.nvidia.com/mfa7u10h00x10</t>
        </is>
      </c>
      <c r="P37" s="9" t="inlineStr">
        <is>
          <t>AOC MFA7U10-H00x-FLT flat-top OSFP head  active MFA7U10-H003-FLT / MFA7U10-H005-FLT / MFA7U10-H010-FLT / MFA7U10-H015-FLT / MFA7U10-H020-FLT / MFA7U10-H030-FLT 980-9I41Y-00H003, 980-9I110-00H005, 980-9I112-00H010, 980-9I114-00H015, 980-9I116-00H020, 980-9I118-00H030 400G OSFP-flattop -&gt; 2xQSFP56 2x 2x200Gb/s OSFP to 2xQSFP56 MM max 30 m IB/ETH MFA7U10-H00x 400Gb/s OSFP to 2x200Gb/s QSFP56 HDR Active Optical Splitter Cable</t>
        </is>
      </c>
      <c r="Q37" s="9">
        <f>IF(AND(Search!$B$2&lt;&gt;"",ISNUMBER(SEARCH(Search!$B$2,P37))),MAX(Q$1:Q36)+1,"")</f>
        <v/>
      </c>
    </row>
    <row r="38" ht="15" customHeight="1" s="10">
      <c r="A38" s="9" t="inlineStr">
        <is>
          <t>AOC</t>
        </is>
      </c>
      <c r="B38" s="9" t="inlineStr">
        <is>
          <t>MFS1S00-HxxxV</t>
        </is>
      </c>
      <c r="C38" s="9" t="inlineStr">
        <is>
          <t>—</t>
        </is>
      </c>
      <c r="E38" s="9" t="inlineStr">
        <is>
          <t>active</t>
        </is>
      </c>
      <c r="F38" s="9" t="inlineStr">
        <is>
          <t>MFS1S00-H003V / MFS1S00-H005V / MFS1S00-H010V / MFS1S00-H015V / MFS1S00-H020V / MFS1S00-H030V / MFS1S00-H050V / MFS1S00-H100V</t>
        </is>
      </c>
      <c r="G38" s="9" t="inlineStr">
        <is>
          <t>980-9I457-00H003, 980-9I45D-00H005, 980-9I45J-00H010, 980-9I45O-00H015, 980-9I45T-00H020, 980-9I440-00H030, 980-9I447-00H050, 980-9I44H-00H100</t>
        </is>
      </c>
      <c r="H38" s="9" t="inlineStr">
        <is>
          <t>200G</t>
        </is>
      </c>
      <c r="I38" s="9" t="inlineStr">
        <is>
          <t>QSFP56</t>
        </is>
      </c>
      <c r="J38" s="9" t="inlineStr">
        <is>
          <t>1x 200Gb/s QSFP56 to QSFP56</t>
        </is>
      </c>
      <c r="K38" s="9" t="inlineStr">
        <is>
          <t>MM</t>
        </is>
      </c>
      <c r="L38" s="9" t="inlineStr">
        <is>
          <t>max 100 m</t>
        </is>
      </c>
      <c r="M38" s="9" t="inlineStr">
        <is>
          <t>IB/ETH</t>
        </is>
      </c>
      <c r="N38" s="9" t="inlineStr">
        <is>
          <t>MFS1S00-HxxxV 200Gb/s QSFP56 MMF AOC Product Specifications</t>
        </is>
      </c>
      <c r="O38" s="14" t="inlineStr">
        <is>
          <t>https://networking-docs.nvidia.com/mfs1s00hxxxv10</t>
        </is>
      </c>
      <c r="P38" s="9" t="inlineStr">
        <is>
          <t>AOC MFS1S00-HxxxV —  active MFS1S00-H003V / MFS1S00-H005V / MFS1S00-H010V / MFS1S00-H015V / MFS1S00-H020V / MFS1S00-H030V / MFS1S00-H050V / MFS1S00-H100V 980-9I457-00H003, 980-9I45D-00H005, 980-9I45J-00H010, 980-9I45O-00H015, 980-9I45T-00H020, 980-9I440-00H030, 980-9I447-00H050, 980-9I44H-00H100 200G QSFP56 1x 200Gb/s QSFP56 to QSFP56 MM max 100 m IB/ETH MFS1S00-HxxxV 200Gb/s QSFP56 MMF AOC Product Specifications</t>
        </is>
      </c>
      <c r="Q38" s="9">
        <f>IF(AND(Search!$B$2&lt;&gt;"",ISNUMBER(SEARCH(Search!$B$2,P38))),MAX(Q$1:Q37)+1,"")</f>
        <v/>
      </c>
    </row>
    <row r="39" ht="15" customHeight="1" s="10">
      <c r="A39" s="9" t="inlineStr">
        <is>
          <t>Copper / DAC / ACC</t>
        </is>
      </c>
      <c r="B39" s="9" t="inlineStr">
        <is>
          <t>MCA4K00</t>
        </is>
      </c>
      <c r="C39" s="9" t="inlineStr">
        <is>
          <t>RHS-to-RHS</t>
        </is>
      </c>
      <c r="E39" s="9" t="inlineStr">
        <is>
          <t>active</t>
        </is>
      </c>
      <c r="F39" s="9" t="inlineStr">
        <is>
          <t>MCA4K00</t>
        </is>
      </c>
      <c r="G39" s="9" t="inlineStr">
        <is>
          <t>980-9IAM1-00X001, 980-9IAM2-00X001, 980-9IAM4-00X001</t>
        </is>
      </c>
      <c r="H39" s="9" t="inlineStr">
        <is>
          <t>1600G</t>
        </is>
      </c>
      <c r="I39" s="9" t="inlineStr">
        <is>
          <t>OSFP-flattop -&gt; OSFP-flattop</t>
        </is>
      </c>
      <c r="J39" s="9" t="inlineStr">
        <is>
          <t>1x 1600Gb/s OSFP to OSFP</t>
        </is>
      </c>
      <c r="K39" s="9" t="inlineStr">
        <is>
          <t>Copper</t>
        </is>
      </c>
      <c r="L39" s="9" t="inlineStr">
        <is>
          <t>max 1.1 m</t>
        </is>
      </c>
      <c r="M39" s="9" t="inlineStr">
        <is>
          <t>IB/ETH/NVL</t>
        </is>
      </c>
      <c r="N39" s="9" t="inlineStr">
        <is>
          <t>MCA4K00 1600Gbps to 1600Gbps OSFP Active Copper Cable Product Specifications</t>
        </is>
      </c>
      <c r="O39" s="14" t="inlineStr">
        <is>
          <t>https://networking-docs.nvidia.com/mca4k00hw</t>
        </is>
      </c>
      <c r="P39" s="9" t="inlineStr">
        <is>
          <t>Copper / DAC / ACC MCA4K00 RHS-to-RHS  active MCA4K00 980-9IAM1-00X001, 980-9IAM2-00X001, 980-9IAM4-00X001 1600G OSFP-flattop -&gt; OSFP-flattop 1x 1600Gb/s OSFP to OSFP Copper max 1.1 m IB/ETH/NVL MCA4K00 1600Gbps to 1600Gbps OSFP Active Copper Cable Product Specifications</t>
        </is>
      </c>
      <c r="Q39" s="9">
        <f>IF(AND(Search!$B$2&lt;&gt;"",ISNUMBER(SEARCH(Search!$B$2,P39))),MAX(Q$1:Q38)+1,"")</f>
        <v/>
      </c>
    </row>
    <row r="40" ht="15" customHeight="1" s="10">
      <c r="A40" s="9" t="inlineStr">
        <is>
          <t>Copper / DAC / ACC</t>
        </is>
      </c>
      <c r="B40" s="9" t="inlineStr">
        <is>
          <t>MCA4K50</t>
        </is>
      </c>
      <c r="C40" s="9" t="inlineStr">
        <is>
          <t>IHS-to-IHS</t>
        </is>
      </c>
      <c r="E40" s="9" t="inlineStr">
        <is>
          <t>active</t>
        </is>
      </c>
      <c r="F40" s="9" t="inlineStr">
        <is>
          <t>MCA4K50</t>
        </is>
      </c>
      <c r="G40" s="9" t="inlineStr">
        <is>
          <t>980-9IAM5-00X001, 980-9IAM5-00X01A, 980-9IAM3-00X002, 980-9IAM3-00X02A, 980-9IAM3-00X003</t>
        </is>
      </c>
      <c r="H40" s="9" t="inlineStr">
        <is>
          <t>1600G</t>
        </is>
      </c>
      <c r="I40" s="9" t="inlineStr">
        <is>
          <t>OSFP-finned -&gt; OSFP-finned</t>
        </is>
      </c>
      <c r="J40" s="9" t="inlineStr">
        <is>
          <t>1x 1600Gb/s OSFP to OSFP</t>
        </is>
      </c>
      <c r="K40" s="9" t="inlineStr">
        <is>
          <t>Copper</t>
        </is>
      </c>
      <c r="L40" s="9" t="inlineStr">
        <is>
          <t>max 3 m</t>
        </is>
      </c>
      <c r="M40" s="9" t="inlineStr">
        <is>
          <t>IB</t>
        </is>
      </c>
      <c r="N40" s="9" t="inlineStr">
        <is>
          <t>MCA4K50 1600Gbps to 1600Gbps OSFP Active Copper Cable</t>
        </is>
      </c>
      <c r="O40" s="14" t="inlineStr">
        <is>
          <t>https://networking-docs.nvidia.com/mca4k50osfp1600</t>
        </is>
      </c>
      <c r="P40" s="9" t="inlineStr">
        <is>
          <t>Copper / DAC / ACC MCA4K50 IHS-to-IHS  active MCA4K50 980-9IAM5-00X001, 980-9IAM5-00X01A, 980-9IAM3-00X002, 980-9IAM3-00X02A, 980-9IAM3-00X003 1600G OSFP-finned -&gt; OSFP-finned 1x 1600Gb/s OSFP to OSFP Copper max 3 m IB MCA4K50 1600Gbps to 1600Gbps OSFP Active Copper Cable</t>
        </is>
      </c>
      <c r="Q40" s="9">
        <f>IF(AND(Search!$B$2&lt;&gt;"",ISNUMBER(SEARCH(Search!$B$2,P40))),MAX(Q$1:Q39)+1,"")</f>
        <v/>
      </c>
    </row>
    <row r="41" ht="15" customHeight="1" s="10">
      <c r="A41" s="9" t="inlineStr">
        <is>
          <t>Copper / DAC / ACC</t>
        </is>
      </c>
      <c r="B41" s="9" t="inlineStr">
        <is>
          <t>MCA7K10</t>
        </is>
      </c>
      <c r="C41" s="9" t="inlineStr">
        <is>
          <t>IHS-to-2xRHS</t>
        </is>
      </c>
      <c r="E41" s="9" t="inlineStr">
        <is>
          <t>active</t>
        </is>
      </c>
      <c r="F41" s="9" t="inlineStr">
        <is>
          <t>MCA7K10</t>
        </is>
      </c>
      <c r="G41" s="9" t="inlineStr">
        <is>
          <t>980-9IAO5-00X001, 980-9IAO5-00X01A, 980-9IAO5-00X002</t>
        </is>
      </c>
      <c r="H41" s="9" t="inlineStr">
        <is>
          <t>1600G</t>
        </is>
      </c>
      <c r="I41" s="9" t="inlineStr">
        <is>
          <t>OSFP-finned -&gt; 2xOSFP-flattop</t>
        </is>
      </c>
      <c r="J41" s="9" t="inlineStr">
        <is>
          <t>2x 2x800Gb/s OSFP to 2xOSFP</t>
        </is>
      </c>
      <c r="K41" s="9" t="inlineStr">
        <is>
          <t>Copper</t>
        </is>
      </c>
      <c r="L41" s="9" t="inlineStr">
        <is>
          <t>max 2 m</t>
        </is>
      </c>
      <c r="M41" s="9" t="inlineStr">
        <is>
          <t>IB/ETH</t>
        </is>
      </c>
      <c r="N41" s="9" t="inlineStr">
        <is>
          <t>MCA7K10 1600Gb/s to 2x800Gb/s, OSFP to 2xOSFP, IHS to RHS Active Copper Splitter Cable</t>
        </is>
      </c>
      <c r="O41" s="14" t="inlineStr">
        <is>
          <t>https://networking-docs.nvidia.com/9809iao500xxxxrhs2x800</t>
        </is>
      </c>
      <c r="P41" s="9" t="inlineStr">
        <is>
          <t>Copper / DAC / ACC MCA7K10 IHS-to-2xRHS  active MCA7K10 980-9IAO5-00X001, 980-9IAO5-00X01A, 980-9IAO5-00X002 1600G OSFP-finned -&gt; 2xOSFP-flattop 2x 2x800Gb/s OSFP to 2xOSFP Copper max 2 m IB/ETH MCA7K10 1600Gb/s to 2x800Gb/s, OSFP to 2xOSFP, IHS to RHS Active Copper Splitter Cable</t>
        </is>
      </c>
      <c r="Q41" s="9">
        <f>IF(AND(Search!$B$2&lt;&gt;"",ISNUMBER(SEARCH(Search!$B$2,P41))),MAX(Q$1:Q40)+1,"")</f>
        <v/>
      </c>
    </row>
    <row r="42" ht="15" customHeight="1" s="10">
      <c r="A42" s="9" t="inlineStr">
        <is>
          <t>Copper / DAC / ACC</t>
        </is>
      </c>
      <c r="B42" s="9" t="inlineStr">
        <is>
          <t>MCA4J80-Nxxx</t>
        </is>
      </c>
      <c r="C42" s="9" t="inlineStr">
        <is>
          <t>finned</t>
        </is>
      </c>
      <c r="E42" s="9" t="inlineStr">
        <is>
          <t>active</t>
        </is>
      </c>
      <c r="F42" s="9" t="inlineStr">
        <is>
          <t>MCA4J80-N003 / MCA4J80-N004 / MCA4J80-N005</t>
        </is>
      </c>
      <c r="G42" s="9" t="inlineStr">
        <is>
          <t>980-9I60Z-00N003, 980-9I601-00N004, 980-9I602-00N005</t>
        </is>
      </c>
      <c r="H42" s="9" t="inlineStr">
        <is>
          <t>800G</t>
        </is>
      </c>
      <c r="I42" s="9" t="inlineStr">
        <is>
          <t>OSFP-finned -&gt; OSFP-finned</t>
        </is>
      </c>
      <c r="J42" s="9" t="inlineStr">
        <is>
          <t>2x 2x400Gb/s OSFP to OSFP</t>
        </is>
      </c>
      <c r="K42" s="9" t="inlineStr">
        <is>
          <t>Copper</t>
        </is>
      </c>
      <c r="L42" s="9" t="inlineStr">
        <is>
          <t>max 5 m</t>
        </is>
      </c>
      <c r="M42" s="9" t="inlineStr">
        <is>
          <t>IB</t>
        </is>
      </c>
      <c r="N42" s="9" t="inlineStr">
        <is>
          <t>MCA4J80-Nxxx 800Gb/s Twin-port OSFP to 2x400Gb/s OSFP InfiniBand ACC Product Specifications</t>
        </is>
      </c>
      <c r="O42" s="14" t="inlineStr">
        <is>
          <t>https://networking-docs.nvidia.com/mca4j80nxxx800pub</t>
        </is>
      </c>
      <c r="P42" s="9" t="inlineStr">
        <is>
          <t>Copper / DAC / ACC MCA4J80-Nxxx finned  active MCA4J80-N003 / MCA4J80-N004 / MCA4J80-N005 980-9I60Z-00N003, 980-9I601-00N004, 980-9I602-00N005 800G OSFP-finned -&gt; OSFP-finned 2x 2x400Gb/s OSFP to OSFP Copper max 5 m IB MCA4J80-Nxxx 800Gb/s Twin-port OSFP to 2x400Gb/s OSFP InfiniBand ACC Product Specifications</t>
        </is>
      </c>
      <c r="Q42" s="9">
        <f>IF(AND(Search!$B$2&lt;&gt;"",ISNUMBER(SEARCH(Search!$B$2,P42))),MAX(Q$1:Q41)+1,"")</f>
        <v/>
      </c>
    </row>
    <row r="43" ht="15" customHeight="1" s="10">
      <c r="A43" s="9" t="inlineStr">
        <is>
          <t>Copper / DAC / ACC</t>
        </is>
      </c>
      <c r="B43" s="9" t="inlineStr">
        <is>
          <t>MCA4J80-Nxxx-FLT</t>
        </is>
      </c>
      <c r="C43" s="9" t="inlineStr">
        <is>
          <t>flat-top</t>
        </is>
      </c>
      <c r="E43" s="9" t="inlineStr">
        <is>
          <t>active</t>
        </is>
      </c>
      <c r="F43" s="9" t="inlineStr">
        <is>
          <t>MCA4J80-N003-FLT</t>
        </is>
      </c>
      <c r="G43" s="9" t="inlineStr">
        <is>
          <t>980-9I600-00N003</t>
        </is>
      </c>
      <c r="H43" s="9" t="inlineStr">
        <is>
          <t>800G</t>
        </is>
      </c>
      <c r="I43" s="9" t="inlineStr">
        <is>
          <t>OSFP-flattop -&gt; OSFP-flattop</t>
        </is>
      </c>
      <c r="J43" s="9" t="inlineStr">
        <is>
          <t>2x 2x400Gb/s OSFP to OSFP</t>
        </is>
      </c>
      <c r="K43" s="9" t="inlineStr">
        <is>
          <t>Copper</t>
        </is>
      </c>
      <c r="L43" s="9" t="inlineStr">
        <is>
          <t>max 3 m</t>
        </is>
      </c>
      <c r="M43" s="9" t="inlineStr">
        <is>
          <t>IB</t>
        </is>
      </c>
      <c r="N43" s="9" t="inlineStr">
        <is>
          <t>MCA4J80-Nxxx 800Gbps Twin-port 2x400Gbps OSFP to 2x400Gbps OSFP InfiniBand LACC</t>
        </is>
      </c>
      <c r="O43" s="14" t="inlineStr">
        <is>
          <t>https://networking-docs.nvidia.com/mca4j80nxxx800pub</t>
        </is>
      </c>
      <c r="P43" s="9" t="inlineStr">
        <is>
          <t>Copper / DAC / ACC MCA4J80-Nxxx-FLT flat-top  active MCA4J80-N003-FLT 980-9I600-00N003 800G OSFP-flattop -&gt; OSFP-flattop 2x 2x400Gb/s OSFP to OSFP Copper max 3 m IB MCA4J80-Nxxx 800Gbps Twin-port 2x400Gbps OSFP to 2x400Gbps OSFP InfiniBand LACC</t>
        </is>
      </c>
      <c r="Q43" s="9">
        <f>IF(AND(Search!$B$2&lt;&gt;"",ISNUMBER(SEARCH(Search!$B$2,P43))),MAX(Q$1:Q42)+1,"")</f>
        <v/>
      </c>
    </row>
    <row r="44" ht="15" customHeight="1" s="10">
      <c r="A44" s="9" t="inlineStr">
        <is>
          <t>Copper / DAC / ACC</t>
        </is>
      </c>
      <c r="B44" s="9" t="inlineStr">
        <is>
          <t>MCA4J80-Nxxx-FTF</t>
        </is>
      </c>
      <c r="C44" s="9" t="inlineStr">
        <is>
          <t>flat-to-finned</t>
        </is>
      </c>
      <c r="E44" s="9" t="inlineStr">
        <is>
          <t>active</t>
        </is>
      </c>
      <c r="F44" s="9" t="inlineStr">
        <is>
          <t>MCA4J80-N003-FTF</t>
        </is>
      </c>
      <c r="G44" s="9" t="inlineStr">
        <is>
          <t>980-9I601-00N003</t>
        </is>
      </c>
      <c r="H44" s="9" t="inlineStr">
        <is>
          <t>800G</t>
        </is>
      </c>
      <c r="I44" s="9" t="inlineStr">
        <is>
          <t>OSFP-flattop -&gt; OSFP-finned</t>
        </is>
      </c>
      <c r="J44" s="9" t="inlineStr">
        <is>
          <t>2x 2x400Gb/s OSFP to OSFP</t>
        </is>
      </c>
      <c r="K44" s="9" t="inlineStr">
        <is>
          <t>Copper</t>
        </is>
      </c>
      <c r="L44" s="9" t="inlineStr">
        <is>
          <t>max 3 m</t>
        </is>
      </c>
      <c r="M44" s="9" t="inlineStr">
        <is>
          <t>IB</t>
        </is>
      </c>
      <c r="N44" s="9" t="inlineStr">
        <is>
          <t>MCA4J80-Nxxx 800Gbps Twin-port 2x400Gbps OSFP to 2x400Gbps OSFP InfiniBand LACC</t>
        </is>
      </c>
      <c r="O44" s="14" t="inlineStr">
        <is>
          <t>https://networking-docs.nvidia.com/mca4j80nxxx800pub</t>
        </is>
      </c>
      <c r="P44" s="9" t="inlineStr">
        <is>
          <t>Copper / DAC / ACC MCA4J80-Nxxx-FTF flat-to-finned  active MCA4J80-N003-FTF 980-9I601-00N003 800G OSFP-flattop -&gt; OSFP-finned 2x 2x400Gb/s OSFP to OSFP Copper max 3 m IB MCA4J80-Nxxx 800Gbps Twin-port 2x400Gbps OSFP to 2x400Gbps OSFP InfiniBand LACC</t>
        </is>
      </c>
      <c r="Q44" s="9">
        <f>IF(AND(Search!$B$2&lt;&gt;"",ISNUMBER(SEARCH(Search!$B$2,P44))),MAX(Q$1:Q43)+1,"")</f>
        <v/>
      </c>
    </row>
    <row r="45" ht="15" customHeight="1" s="10">
      <c r="A45" s="9" t="inlineStr">
        <is>
          <t>Copper / DAC / ACC</t>
        </is>
      </c>
      <c r="B45" s="9" t="inlineStr">
        <is>
          <t>MCP4Y10-Nxxx</t>
        </is>
      </c>
      <c r="C45" s="9" t="inlineStr">
        <is>
          <t>finned</t>
        </is>
      </c>
      <c r="E45" s="9" t="inlineStr">
        <is>
          <t>active</t>
        </is>
      </c>
      <c r="F45" s="9" t="inlineStr">
        <is>
          <t>MCP4Y10-N00A / MCP4Y10-N001 / MCP4Y10-N01A / MCP4Y10-N002</t>
        </is>
      </c>
      <c r="G45" s="9" t="inlineStr">
        <is>
          <t>980-9IA0K-00N00A, 980-9IA0F-00N001, 980-9IA0Q-00N01A, 980-9IA0I-00N002</t>
        </is>
      </c>
      <c r="H45" s="9" t="inlineStr">
        <is>
          <t>800G</t>
        </is>
      </c>
      <c r="I45" s="9" t="inlineStr">
        <is>
          <t>OSFP-finned -&gt; OSFP-finned</t>
        </is>
      </c>
      <c r="J45" s="9" t="inlineStr">
        <is>
          <t>2x 2x400Gb/s OSFP to OSFP</t>
        </is>
      </c>
      <c r="K45" s="9" t="inlineStr">
        <is>
          <t>Copper</t>
        </is>
      </c>
      <c r="L45" s="9" t="inlineStr">
        <is>
          <t>max 2 m</t>
        </is>
      </c>
      <c r="M45" s="9" t="inlineStr">
        <is>
          <t>IB/ETH</t>
        </is>
      </c>
      <c r="N45" s="9" t="inlineStr">
        <is>
          <t>MCP4Y10-Nxxx Twin-port 2x400Gb/s OSFP to 2x400Gb/s OSFP Passive DAC Product Specifications</t>
        </is>
      </c>
      <c r="O45" s="14" t="inlineStr">
        <is>
          <t>https://networking-docs.nvidia.com/mcp4y10nxxx2x400pub</t>
        </is>
      </c>
      <c r="P45" s="9" t="inlineStr">
        <is>
          <t>Copper / DAC / ACC MCP4Y10-Nxxx finned  active MCP4Y10-N00A / MCP4Y10-N001 / MCP4Y10-N01A / MCP4Y10-N002 980-9IA0K-00N00A, 980-9IA0F-00N001, 980-9IA0Q-00N01A, 980-9IA0I-00N002 800G OSFP-finned -&gt; OSFP-finned 2x 2x400Gb/s OSFP to OSFP Copper max 2 m IB/ETH MCP4Y10-Nxxx Twin-port 2x400Gb/s OSFP to 2x400Gb/s OSFP Passive DAC Product Specifications</t>
        </is>
      </c>
      <c r="Q45" s="9">
        <f>IF(AND(Search!$B$2&lt;&gt;"",ISNUMBER(SEARCH(Search!$B$2,P45))),MAX(Q$1:Q44)+1,"")</f>
        <v/>
      </c>
    </row>
    <row r="46" ht="15" customHeight="1" s="10">
      <c r="A46" s="9" t="inlineStr">
        <is>
          <t>Copper / DAC / ACC</t>
        </is>
      </c>
      <c r="B46" s="9" t="inlineStr">
        <is>
          <t>MCP4Y10-Nxxx-FLT</t>
        </is>
      </c>
      <c r="C46" s="9" t="inlineStr">
        <is>
          <t>flat-top</t>
        </is>
      </c>
      <c r="E46" s="9" t="inlineStr">
        <is>
          <t>active</t>
        </is>
      </c>
      <c r="F46" s="9" t="inlineStr">
        <is>
          <t>MCP4Y10-N00A-FLT / MCP4Y10-N001-FLT / MCP4Y10-N002-FLT</t>
        </is>
      </c>
      <c r="G46" s="9" t="inlineStr">
        <is>
          <t>980-9IA0L-00N00A, 980-9IA0G-00N001, 980-9IA0J-00N002</t>
        </is>
      </c>
      <c r="H46" s="9" t="inlineStr">
        <is>
          <t>800G</t>
        </is>
      </c>
      <c r="I46" s="9" t="inlineStr">
        <is>
          <t>OSFP-flattop -&gt; OSFP-flattop</t>
        </is>
      </c>
      <c r="J46" s="9" t="inlineStr">
        <is>
          <t>2x 2x400Gb/s OSFP to OSFP</t>
        </is>
      </c>
      <c r="K46" s="9" t="inlineStr">
        <is>
          <t>Copper</t>
        </is>
      </c>
      <c r="L46" s="9" t="inlineStr">
        <is>
          <t>max 2 m</t>
        </is>
      </c>
      <c r="M46" s="9" t="inlineStr">
        <is>
          <t>IB/ETH</t>
        </is>
      </c>
      <c r="N46" s="9" t="inlineStr">
        <is>
          <t>MCP4Y10-Nxxx Twin-port 2x400Gb/s OSFP to 2x400Gb/s OSFP Passive DAC Product Specifications</t>
        </is>
      </c>
      <c r="O46" s="14" t="inlineStr">
        <is>
          <t>https://networking-docs.nvidia.com/mcp4y10nxxx2x400pub</t>
        </is>
      </c>
      <c r="P46" s="9" t="inlineStr">
        <is>
          <t>Copper / DAC / ACC MCP4Y10-Nxxx-FLT flat-top  active MCP4Y10-N00A-FLT / MCP4Y10-N001-FLT / MCP4Y10-N002-FLT 980-9IA0L-00N00A, 980-9IA0G-00N001, 980-9IA0J-00N002 800G OSFP-flattop -&gt; OSFP-flattop 2x 2x400Gb/s OSFP to OSFP Copper max 2 m IB/ETH MCP4Y10-Nxxx Twin-port 2x400Gb/s OSFP to 2x400Gb/s OSFP Passive DAC Product Specifications</t>
        </is>
      </c>
      <c r="Q46" s="9">
        <f>IF(AND(Search!$B$2&lt;&gt;"",ISNUMBER(SEARCH(Search!$B$2,P46))),MAX(Q$1:Q45)+1,"")</f>
        <v/>
      </c>
    </row>
    <row r="47" ht="15" customHeight="1" s="10">
      <c r="A47" s="9" t="inlineStr">
        <is>
          <t>Copper / DAC / ACC</t>
        </is>
      </c>
      <c r="B47" s="9" t="inlineStr">
        <is>
          <t>MCP7Y00-Nxxx</t>
        </is>
      </c>
      <c r="C47" s="9" t="inlineStr">
        <is>
          <t>finned head</t>
        </is>
      </c>
      <c r="E47" s="9" t="inlineStr">
        <is>
          <t>active</t>
        </is>
      </c>
      <c r="F47" s="9" t="inlineStr">
        <is>
          <t>—</t>
        </is>
      </c>
      <c r="G47" s="9" t="inlineStr">
        <is>
          <t>MCP7Y00-N001, MCP7Y00-N01A, MCP7Y00-N002, MCP7Y00-N02A, MCP7Y00-N003</t>
        </is>
      </c>
      <c r="H47" s="9" t="inlineStr">
        <is>
          <t>800G</t>
        </is>
      </c>
      <c r="I47" s="9" t="inlineStr">
        <is>
          <t>OSFP-finned -&gt; 2xOSFP-flattop</t>
        </is>
      </c>
      <c r="J47" s="9" t="inlineStr">
        <is>
          <t>2x 2x400Gb/s OSFP to 2xOSFP</t>
        </is>
      </c>
      <c r="K47" s="9" t="inlineStr">
        <is>
          <t>Copper</t>
        </is>
      </c>
      <c r="L47" s="9" t="inlineStr">
        <is>
          <t>max 3 m</t>
        </is>
      </c>
      <c r="M47" s="9" t="inlineStr">
        <is>
          <t>IB/ETH</t>
        </is>
      </c>
      <c r="N47" s="9" t="inlineStr">
        <is>
          <t>MCP7Y00-Nxxx 800Gb/s Twin-port 2x400G OSFP to 2x400G OSFP Passive DAC Splitter Product Specifications</t>
        </is>
      </c>
      <c r="O47" s="14" t="inlineStr">
        <is>
          <t>https://networking-docs.nvidia.com/mcp7y00nxxx800pub</t>
        </is>
      </c>
      <c r="P47" s="9" t="inlineStr">
        <is>
          <t>Copper / DAC / ACC MCP7Y00-Nxxx finned head  active — MCP7Y00-N001, MCP7Y00-N01A, MCP7Y00-N002, MCP7Y00-N02A, MCP7Y00-N003 800G OSFP-finned -&gt; 2xOSFP-flattop 2x 2x400Gb/s OSFP to 2xOSFP Copper max 3 m IB/ETH MCP7Y00-Nxxx 800Gb/s Twin-port 2x400G OSFP to 2x400G OSFP Passive DAC Splitter Product Specifications</t>
        </is>
      </c>
      <c r="Q47" s="9">
        <f>IF(AND(Search!$B$2&lt;&gt;"",ISNUMBER(SEARCH(Search!$B$2,P47))),MAX(Q$1:Q46)+1,"")</f>
        <v/>
      </c>
    </row>
    <row r="48" ht="15" customHeight="1" s="10">
      <c r="A48" s="9" t="inlineStr">
        <is>
          <t>Copper / DAC / ACC</t>
        </is>
      </c>
      <c r="B48" s="9" t="inlineStr">
        <is>
          <t>MCP7Y00-Nxxx-FLT</t>
        </is>
      </c>
      <c r="C48" s="9" t="inlineStr">
        <is>
          <t>flat-top head</t>
        </is>
      </c>
      <c r="E48" s="9" t="inlineStr">
        <is>
          <t>active</t>
        </is>
      </c>
      <c r="F48" s="9" t="inlineStr">
        <is>
          <t>—</t>
        </is>
      </c>
      <c r="G48" s="9" t="inlineStr">
        <is>
          <t>MCP7Y00-N001-FLT1, MCP7Y00-N01A-FLT, MCP7Y00-N002-FLT</t>
        </is>
      </c>
      <c r="H48" s="9" t="inlineStr">
        <is>
          <t>800G</t>
        </is>
      </c>
      <c r="I48" s="9" t="inlineStr">
        <is>
          <t>OSFP-flattop -&gt; 2xOSFP-flattop</t>
        </is>
      </c>
      <c r="J48" s="9" t="inlineStr">
        <is>
          <t>2x 2x400Gb/s OSFP to 2xOSFP</t>
        </is>
      </c>
      <c r="K48" s="9" t="inlineStr">
        <is>
          <t>Copper</t>
        </is>
      </c>
      <c r="L48" s="9" t="inlineStr">
        <is>
          <t>max 2 m</t>
        </is>
      </c>
      <c r="M48" s="9" t="inlineStr">
        <is>
          <t>IB/ETH</t>
        </is>
      </c>
      <c r="N48" s="9" t="inlineStr">
        <is>
          <t>MCP7Y00-Nxxx 800Gbps Twin-port 2x400G OSFP to 2x400G OSFP Passive DAC Splitter</t>
        </is>
      </c>
      <c r="O48" s="14" t="inlineStr">
        <is>
          <t>https://networking-docs.nvidia.com/mcp7y00nxxx800pub</t>
        </is>
      </c>
      <c r="P48" s="9" t="inlineStr">
        <is>
          <t>Copper / DAC / ACC MCP7Y00-Nxxx-FLT flat-top head  active — MCP7Y00-N001-FLT1, MCP7Y00-N01A-FLT, MCP7Y00-N002-FLT 800G OSFP-flattop -&gt; 2xOSFP-flattop 2x 2x400Gb/s OSFP to 2xOSFP Copper max 2 m IB/ETH MCP7Y00-Nxxx 800Gbps Twin-port 2x400G OSFP to 2x400G OSFP Passive DAC Splitter</t>
        </is>
      </c>
      <c r="Q48" s="9">
        <f>IF(AND(Search!$B$2&lt;&gt;"",ISNUMBER(SEARCH(Search!$B$2,P48))),MAX(Q$1:Q47)+1,"")</f>
        <v/>
      </c>
    </row>
    <row r="49" ht="15" customHeight="1" s="10">
      <c r="A49" s="9" t="inlineStr">
        <is>
          <t>Copper / DAC / ACC</t>
        </is>
      </c>
      <c r="B49" s="9" t="inlineStr">
        <is>
          <t>MCP1600-E0xxEyy</t>
        </is>
      </c>
      <c r="C49" s="9" t="inlineStr">
        <is>
          <t>—</t>
        </is>
      </c>
      <c r="E49" s="9" t="inlineStr">
        <is>
          <t>active</t>
        </is>
      </c>
      <c r="F49" s="9" t="inlineStr">
        <is>
          <t>—</t>
        </is>
      </c>
      <c r="G49" s="9" t="inlineStr">
        <is>
          <t>MCP1600-E00AE30, MCP1600-E001E30, MCP1600-E01AE30, MCP1600-E002E30, MCP1600-E02AE26, MCP1600-E003E26, MCP1600-E004E26, MCP1600-E005E26</t>
        </is>
      </c>
      <c r="H49" s="9" t="inlineStr">
        <is>
          <t>100G</t>
        </is>
      </c>
      <c r="I49" s="9" t="inlineStr">
        <is>
          <t>QSFP28</t>
        </is>
      </c>
      <c r="J49" s="9" t="inlineStr">
        <is>
          <t>1x 100Gb/s QSFP28 to QSFP28</t>
        </is>
      </c>
      <c r="K49" s="9" t="inlineStr">
        <is>
          <t>Copper</t>
        </is>
      </c>
      <c r="L49" s="9" t="inlineStr">
        <is>
          <t>max 5 m</t>
        </is>
      </c>
      <c r="M49" s="9" t="inlineStr">
        <is>
          <t>IB</t>
        </is>
      </c>
      <c r="N49" s="9" t="inlineStr">
        <is>
          <t>MCP1600-E0xxEyy 100Gb/s QSFP28 DAC Cable Product Specifications</t>
        </is>
      </c>
      <c r="O49" s="14" t="inlineStr">
        <is>
          <t>https://networking-docs.nvidia.com/mcp1600e0xxxeyyspec</t>
        </is>
      </c>
      <c r="P49" s="9" t="inlineStr">
        <is>
          <t>Copper / DAC / ACC MCP1600-E0xxEyy —  active — MCP1600-E00AE30, MCP1600-E001E30, MCP1600-E01AE30, MCP1600-E002E30, MCP1600-E02AE26, MCP1600-E003E26, MCP1600-E004E26, MCP1600-E005E26 100G QSFP28 1x 100Gb/s QSFP28 to QSFP28 Copper max 5 m IB MCP1600-E0xxEyy 100Gb/s QSFP28 DAC Cable Product Specifications</t>
        </is>
      </c>
      <c r="Q49" s="9">
        <f>IF(AND(Search!$B$2&lt;&gt;"",ISNUMBER(SEARCH(Search!$B$2,P49))),MAX(Q$1:Q48)+1,"")</f>
        <v/>
      </c>
    </row>
    <row r="50" ht="15" customHeight="1" s="10">
      <c r="A50" s="9" t="inlineStr">
        <is>
          <t>Other active LinkX products</t>
        </is>
      </c>
      <c r="B50" s="9" t="inlineStr">
        <is>
          <t>MMS4C1X</t>
        </is>
      </c>
      <c r="D50" s="9" t="inlineStr">
        <is>
          <t>Transceiver</t>
        </is>
      </c>
      <c r="E50" s="9" t="inlineStr">
        <is>
          <t>active</t>
        </is>
      </c>
      <c r="F50" s="9" t="inlineStr">
        <is>
          <t>—</t>
        </is>
      </c>
      <c r="G50" s="9" t="inlineStr">
        <is>
          <t>980-9IAU0-00XM00, 980-9IAU0-00XM01, 980-9IAU1-00XM00, 980-9IAU1-00XM01</t>
        </is>
      </c>
      <c r="H50" s="9" t="inlineStr">
        <is>
          <t>1600G</t>
        </is>
      </c>
      <c r="N50" s="9" t="inlineStr">
        <is>
          <t>NVIDIA MMS4C1X FRO 1600Gbps, 2xDR4, Twin-port OSFP, 2xMPO (APC), 1310nm Single Mode Transceiver (up to 500m)</t>
        </is>
      </c>
      <c r="O50" s="14" t="inlineStr">
        <is>
          <t>https://networking-docs.nvidia.com/9iau000xmosfptcvr1600</t>
        </is>
      </c>
      <c r="P50" s="9" t="inlineStr">
        <is>
          <t>Other active LinkX products MMS4C1X  Transceiver active — 980-9IAU0-00XM00, 980-9IAU0-00XM01, 980-9IAU1-00XM00, 980-9IAU1-00XM01 1600G      NVIDIA MMS4C1X FRO 1600Gbps, 2xDR4, Twin-port OSFP, 2xMPO (APC), 1310nm Single Mode Transceiver (up to 500m)</t>
        </is>
      </c>
      <c r="Q50" s="9">
        <f>IF(AND(Search!$B$2&lt;&gt;"",ISNUMBER(SEARCH(Search!$B$2,P50))),MAX(Q$1:Q49)+1,"")</f>
        <v/>
      </c>
    </row>
    <row r="51" ht="15" customHeight="1" s="10">
      <c r="A51" s="9" t="inlineStr">
        <is>
          <t>Other active LinkX products</t>
        </is>
      </c>
      <c r="B51" s="9" t="inlineStr">
        <is>
          <t>MAM1Q00A-QSA</t>
        </is>
      </c>
      <c r="D51" s="9" t="inlineStr">
        <is>
          <t>Adapter</t>
        </is>
      </c>
      <c r="E51" s="9" t="inlineStr">
        <is>
          <t>active</t>
        </is>
      </c>
      <c r="F51" s="9" t="inlineStr">
        <is>
          <t>—</t>
        </is>
      </c>
      <c r="G51" s="9" t="inlineStr">
        <is>
          <t>—</t>
        </is>
      </c>
      <c r="H51" s="9" t="inlineStr">
        <is>
          <t>Accessories</t>
        </is>
      </c>
      <c r="N51" s="9" t="inlineStr">
        <is>
          <t>MAM1Q00A-QSA NVIDIA DynamiX QSA™, QSFP+ to SFP+ Adapter Product Specifications</t>
        </is>
      </c>
      <c r="O51" s="14" t="inlineStr">
        <is>
          <t>https://networking-docs.nvidia.com/mam1q00aqsadnmx</t>
        </is>
      </c>
      <c r="P51" s="9" t="inlineStr">
        <is>
          <t>Other active LinkX products MAM1Q00A-QSA  Adapter active — — Accessories      MAM1Q00A-QSA NVIDIA DynamiX QSA™, QSFP+ to SFP+ Adapter Product Specifications</t>
        </is>
      </c>
      <c r="Q51" s="9">
        <f>IF(AND(Search!$B$2&lt;&gt;"",ISNUMBER(SEARCH(Search!$B$2,P51))),MAX(Q$1:Q50)+1,"")</f>
        <v/>
      </c>
    </row>
    <row r="52" ht="15" customHeight="1" s="10">
      <c r="A52" s="9" t="inlineStr">
        <is>
          <t>Other active LinkX products</t>
        </is>
      </c>
      <c r="B52" s="9" t="inlineStr">
        <is>
          <t>MAM1Q00A-QSA28</t>
        </is>
      </c>
      <c r="D52" s="9" t="inlineStr">
        <is>
          <t>Adapter</t>
        </is>
      </c>
      <c r="E52" s="9" t="inlineStr">
        <is>
          <t>active</t>
        </is>
      </c>
      <c r="F52" s="9" t="inlineStr">
        <is>
          <t>—</t>
        </is>
      </c>
      <c r="G52" s="9" t="inlineStr">
        <is>
          <t>—</t>
        </is>
      </c>
      <c r="H52" s="9" t="inlineStr">
        <is>
          <t>Accessories</t>
        </is>
      </c>
      <c r="N52" s="9" t="inlineStr">
        <is>
          <t>MAM1Q00A-QSA28 NVIDIA DynamiX QSA™ QSA28, QSFP28 to SFP28 Adapter Product Specifications</t>
        </is>
      </c>
      <c r="O52" s="14" t="inlineStr">
        <is>
          <t>https://networking-docs.nvidia.com/mam1q00aqsa28dnmx</t>
        </is>
      </c>
      <c r="P52" s="9" t="inlineStr">
        <is>
          <t>Other active LinkX products MAM1Q00A-QSA28  Adapter active — — Accessories      MAM1Q00A-QSA28 NVIDIA DynamiX QSA™ QSA28, QSFP28 to SFP28 Adapter Product Specifications</t>
        </is>
      </c>
      <c r="Q52" s="9">
        <f>IF(AND(Search!$B$2&lt;&gt;"",ISNUMBER(SEARCH(Search!$B$2,P52))),MAX(Q$1:Q51)+1,"")</f>
        <v/>
      </c>
    </row>
    <row r="53" ht="15" customHeight="1" s="10">
      <c r="A53" s="9" t="inlineStr">
        <is>
          <t>Other active LinkX products</t>
        </is>
      </c>
      <c r="B53" s="9" t="inlineStr">
        <is>
          <t>MFP7E10-Nxxx</t>
        </is>
      </c>
      <c r="D53" s="9" t="inlineStr">
        <is>
          <t>Fiber</t>
        </is>
      </c>
      <c r="E53" s="9" t="inlineStr">
        <is>
          <t>active</t>
        </is>
      </c>
      <c r="F53" s="9" t="inlineStr">
        <is>
          <t>—</t>
        </is>
      </c>
      <c r="G53" s="9" t="inlineStr">
        <is>
          <t>—</t>
        </is>
      </c>
      <c r="H53" s="9" t="inlineStr">
        <is>
          <t>Accessories</t>
        </is>
      </c>
      <c r="N53" s="9" t="inlineStr">
        <is>
          <t>MFP7E10-Nxxx Optical Multimode Fiber Cable Product Specifications</t>
        </is>
      </c>
      <c r="O53" s="14" t="inlineStr">
        <is>
          <t>https://networking-docs.nvidia.com/mfp7e10nxxx</t>
        </is>
      </c>
      <c r="P53" s="9" t="inlineStr">
        <is>
          <t>Other active LinkX products MFP7E10-Nxxx  Fiber active — — Accessories      MFP7E10-Nxxx Optical Multimode Fiber Cable Product Specifications</t>
        </is>
      </c>
      <c r="Q53" s="9">
        <f>IF(AND(Search!$B$2&lt;&gt;"",ISNUMBER(SEARCH(Search!$B$2,P53))),MAX(Q$1:Q52)+1,"")</f>
        <v/>
      </c>
    </row>
    <row r="54" ht="15" customHeight="1" s="10">
      <c r="A54" s="9" t="inlineStr">
        <is>
          <t>Other active LinkX products</t>
        </is>
      </c>
      <c r="B54" s="9" t="inlineStr">
        <is>
          <t>MFP7E20-Nxxx</t>
        </is>
      </c>
      <c r="D54" s="9" t="inlineStr">
        <is>
          <t>Fiber</t>
        </is>
      </c>
      <c r="E54" s="9" t="inlineStr">
        <is>
          <t>active</t>
        </is>
      </c>
      <c r="F54" s="9" t="inlineStr">
        <is>
          <t>—</t>
        </is>
      </c>
      <c r="G54" s="9" t="inlineStr">
        <is>
          <t>—</t>
        </is>
      </c>
      <c r="H54" s="9" t="inlineStr">
        <is>
          <t>Accessories</t>
        </is>
      </c>
      <c r="N54" s="9" t="inlineStr">
        <is>
          <t>MFP7E20-Nxxx Optical Multimode Splitter Fiber Cable Product Specifications</t>
        </is>
      </c>
      <c r="O54" s="14" t="inlineStr">
        <is>
          <t>https://networking-docs.nvidia.com/mfp7e20nxxx</t>
        </is>
      </c>
      <c r="P54" s="9" t="inlineStr">
        <is>
          <t>Other active LinkX products MFP7E20-Nxxx  Fiber active — — Accessories      MFP7E20-Nxxx Optical Multimode Splitter Fiber Cable Product Specifications</t>
        </is>
      </c>
      <c r="Q54" s="9">
        <f>IF(AND(Search!$B$2&lt;&gt;"",ISNUMBER(SEARCH(Search!$B$2,P54))),MAX(Q$1:Q53)+1,"")</f>
        <v/>
      </c>
    </row>
    <row r="55" ht="15" customHeight="1" s="10">
      <c r="A55" s="9" t="inlineStr">
        <is>
          <t>Other active LinkX products</t>
        </is>
      </c>
      <c r="B55" s="9" t="inlineStr">
        <is>
          <t>MFP7E30-Nxxx</t>
        </is>
      </c>
      <c r="D55" s="9" t="inlineStr">
        <is>
          <t>Fiber</t>
        </is>
      </c>
      <c r="E55" s="9" t="inlineStr">
        <is>
          <t>active</t>
        </is>
      </c>
      <c r="F55" s="9" t="inlineStr">
        <is>
          <t>—</t>
        </is>
      </c>
      <c r="G55" s="9" t="inlineStr">
        <is>
          <t>—</t>
        </is>
      </c>
      <c r="H55" s="9" t="inlineStr">
        <is>
          <t>Accessories</t>
        </is>
      </c>
      <c r="N55" s="9" t="inlineStr">
        <is>
          <t>MFP7E30-Nxxx MPO-to-MPO Single-mode Fiber Cable Product Specifications</t>
        </is>
      </c>
      <c r="O55" s="14" t="inlineStr">
        <is>
          <t>https://networking-docs.nvidia.com/mfp7e30nxxxpub</t>
        </is>
      </c>
      <c r="P55" s="9" t="inlineStr">
        <is>
          <t>Other active LinkX products MFP7E30-Nxxx  Fiber active — — Accessories      MFP7E30-Nxxx MPO-to-MPO Single-mode Fiber Cable Product Specifications</t>
        </is>
      </c>
      <c r="Q55" s="9">
        <f>IF(AND(Search!$B$2&lt;&gt;"",ISNUMBER(SEARCH(Search!$B$2,P55))),MAX(Q$1:Q54)+1,"")</f>
        <v/>
      </c>
    </row>
    <row r="56" ht="15" customHeight="1" s="10">
      <c r="A56" s="9" t="inlineStr">
        <is>
          <t>Other active LinkX products</t>
        </is>
      </c>
      <c r="B56" s="9" t="inlineStr">
        <is>
          <t>MFP7E40-Nxxx</t>
        </is>
      </c>
      <c r="D56" s="9" t="inlineStr">
        <is>
          <t>Fiber</t>
        </is>
      </c>
      <c r="E56" s="9" t="inlineStr">
        <is>
          <t>active</t>
        </is>
      </c>
      <c r="F56" s="9" t="inlineStr">
        <is>
          <t>MFP7E40-N003 / MFP7E40-N005 / MFP7E40-N007 / MFP7E40-N010 / MFP7E40-N015 / MFP7E40-N020 / MFP7E40-N030 / MFP7E40-N050</t>
        </is>
      </c>
      <c r="G56" s="9" t="inlineStr">
        <is>
          <t>980-9I58K-00N003, 980-9I58L-00N005, 980-9I58M-00N007, 980-9I58N-00N010, 980-9I56O-00N015, 980-9I56P-00N020, 980-9I56Q-00N030, 980-9I56R-000050</t>
        </is>
      </c>
      <c r="H56" s="9" t="inlineStr">
        <is>
          <t>Accessories</t>
        </is>
      </c>
      <c r="N56" s="9" t="inlineStr">
        <is>
          <t>MFP7E40-Nxxx Single mode 1:2 Fiber Splitter Cable Product Specifications</t>
        </is>
      </c>
      <c r="O56" s="14" t="inlineStr">
        <is>
          <t>https://networking-docs.nvidia.com/mfp7e40nxxxpub</t>
        </is>
      </c>
      <c r="P56" s="9" t="inlineStr">
        <is>
          <t>Other active LinkX products MFP7E40-Nxxx  Fiber active MFP7E40-N003 / MFP7E40-N005 / MFP7E40-N007 / MFP7E40-N010 / MFP7E40-N015 / MFP7E40-N020 / MFP7E40-N030 / MFP7E40-N050 980-9I58K-00N003, 980-9I58L-00N005, 980-9I58M-00N007, 980-9I58N-00N010, 980-9I56O-00N015, 980-9I56P-00N020, 980-9I56Q-00N030, 980-9I56R-000050 Accessories      MFP7E40-Nxxx Single mode 1:2 Fiber Splitter Cable Product Specifications</t>
        </is>
      </c>
      <c r="Q56" s="9">
        <f>IF(AND(Search!$B$2&lt;&gt;"",ISNUMBER(SEARCH(Search!$B$2,P56))),MAX(Q$1:Q55)+1,"")</f>
        <v/>
      </c>
    </row>
    <row r="57" ht="15" customHeight="1" s="10">
      <c r="A57" s="9" t="inlineStr">
        <is>
          <t>Ethernet switching</t>
        </is>
      </c>
      <c r="B57" s="9" t="inlineStr">
        <is>
          <t>SN6810-LD</t>
        </is>
      </c>
      <c r="D57" s="9" t="inlineStr">
        <is>
          <t>Spectrum-6 SN6000</t>
        </is>
      </c>
      <c r="E57" s="9" t="inlineStr">
        <is>
          <t>documented</t>
        </is>
      </c>
      <c r="F57" s="9" t="inlineStr">
        <is>
          <t>—</t>
        </is>
      </c>
      <c r="G57" s="9" t="inlineStr">
        <is>
          <t>920-9N64K-00LI-GC0</t>
        </is>
      </c>
      <c r="H57" s="9" t="inlineStr">
        <is>
          <t>800GbE</t>
        </is>
      </c>
      <c r="J57" s="9" t="inlineStr">
        <is>
          <t>128x MMC-12 800GbE fixed</t>
        </is>
      </c>
      <c r="N57" s="9" t="inlineStr">
        <is>
          <t>Spectrum-6 SN6000 2U 800GbE Ethernet switch: 128x MMC-12 (co-packaged optics)</t>
        </is>
      </c>
      <c r="O57" s="14" t="inlineStr">
        <is>
          <t>https://networking-docs.nvidia.com/sn6000hw</t>
        </is>
      </c>
      <c r="P57" s="9" t="inlineStr">
        <is>
          <t>Ethernet switching SN6810-LD  Spectrum-6 SN6000 documented — 920-9N64K-00LI-GC0 800GbE  128x MMC-12 800GbE fixed    Spectrum-6 SN6000 2U 800GbE Ethernet switch: 128x MMC-12 (co-packaged optics)</t>
        </is>
      </c>
      <c r="Q57" s="9">
        <f>IF(AND(Search!$B$2&lt;&gt;"",ISNUMBER(SEARCH(Search!$B$2,P57))),MAX(Q$1:Q56)+1,"")</f>
        <v/>
      </c>
    </row>
    <row r="58" ht="15" customHeight="1" s="10">
      <c r="A58" s="9" t="inlineStr">
        <is>
          <t>Ethernet switching</t>
        </is>
      </c>
      <c r="B58" s="9" t="inlineStr">
        <is>
          <t>SN6800-LD</t>
        </is>
      </c>
      <c r="D58" s="9" t="inlineStr">
        <is>
          <t>Spectrum-6 SN6000</t>
        </is>
      </c>
      <c r="E58" s="9" t="inlineStr">
        <is>
          <t>documented</t>
        </is>
      </c>
      <c r="F58" s="9" t="inlineStr">
        <is>
          <t>—</t>
        </is>
      </c>
      <c r="G58" s="9" t="inlineStr">
        <is>
          <t>920-9N67K-00LA-GC0</t>
        </is>
      </c>
      <c r="H58" s="9" t="inlineStr">
        <is>
          <t>200GbE</t>
        </is>
      </c>
      <c r="J58" s="9" t="inlineStr">
        <is>
          <t>512x MMC-12 200GbE fixed</t>
        </is>
      </c>
      <c r="N58" s="9" t="inlineStr">
        <is>
          <t>Spectrum-6 SN6000 5U 200GbE Ethernet switch: 512x MMC-12 (co-packaged optics)</t>
        </is>
      </c>
      <c r="O58" s="14" t="inlineStr">
        <is>
          <t>https://networking-docs.nvidia.com/sn6000hw</t>
        </is>
      </c>
      <c r="P58" s="9" t="inlineStr">
        <is>
          <t>Ethernet switching SN6800-LD  Spectrum-6 SN6000 documented — 920-9N67K-00LA-GC0 200GbE  512x MMC-12 200GbE fixed    Spectrum-6 SN6000 5U 200GbE Ethernet switch: 512x MMC-12 (co-packaged optics)</t>
        </is>
      </c>
      <c r="Q58" s="9">
        <f>IF(AND(Search!$B$2&lt;&gt;"",ISNUMBER(SEARCH(Search!$B$2,P58))),MAX(Q$1:Q57)+1,"")</f>
        <v/>
      </c>
    </row>
    <row r="59" ht="15" customHeight="1" s="10">
      <c r="A59" s="9" t="inlineStr">
        <is>
          <t>Ethernet switching</t>
        </is>
      </c>
      <c r="B59" s="9" t="inlineStr">
        <is>
          <t>SN6600-LD</t>
        </is>
      </c>
      <c r="D59" s="9" t="inlineStr">
        <is>
          <t>Spectrum-6 SN6000</t>
        </is>
      </c>
      <c r="E59" s="9" t="inlineStr">
        <is>
          <t>documented</t>
        </is>
      </c>
      <c r="F59" s="9" t="inlineStr">
        <is>
          <t>—</t>
        </is>
      </c>
      <c r="G59" s="9" t="inlineStr">
        <is>
          <t>920-9N62F-00LI-GC1</t>
        </is>
      </c>
      <c r="H59" s="9" t="inlineStr">
        <is>
          <t>800GbE</t>
        </is>
      </c>
      <c r="J59" s="9" t="inlineStr">
        <is>
          <t>64x OSFP 2x800 Gb/s</t>
        </is>
      </c>
      <c r="N59" s="9" t="inlineStr">
        <is>
          <t>Spectrum-6 SN6000 2U 800GbE Ethernet switch: 64x OSFP 2x800 Gb/s</t>
        </is>
      </c>
      <c r="O59" s="14" t="inlineStr">
        <is>
          <t>https://networking-docs.nvidia.com/sn6000hw</t>
        </is>
      </c>
      <c r="P59" s="9" t="inlineStr">
        <is>
          <t>Ethernet switching SN6600-LD  Spectrum-6 SN6000 documented — 920-9N62F-00LI-GC1 800GbE  64x OSFP 2x800 Gb/s    Spectrum-6 SN6000 2U 800GbE Ethernet switch: 64x OSFP 2x800 Gb/s</t>
        </is>
      </c>
      <c r="Q59" s="9">
        <f>IF(AND(Search!$B$2&lt;&gt;"",ISNUMBER(SEARCH(Search!$B$2,P59))),MAX(Q$1:Q58)+1,"")</f>
        <v/>
      </c>
    </row>
    <row r="60" ht="15" customHeight="1" s="10">
      <c r="A60" s="9" t="inlineStr">
        <is>
          <t>Ethernet switching</t>
        </is>
      </c>
      <c r="B60" s="9" t="inlineStr">
        <is>
          <t>SN6600</t>
        </is>
      </c>
      <c r="D60" s="9" t="inlineStr">
        <is>
          <t>Spectrum-6 SN6000</t>
        </is>
      </c>
      <c r="E60" s="9" t="inlineStr">
        <is>
          <t>documented</t>
        </is>
      </c>
      <c r="F60" s="9" t="inlineStr">
        <is>
          <t>—</t>
        </is>
      </c>
      <c r="G60" s="9" t="inlineStr">
        <is>
          <t>920-9N63F-00RI-3C0</t>
        </is>
      </c>
      <c r="H60" s="9" t="inlineStr">
        <is>
          <t>800GbE</t>
        </is>
      </c>
      <c r="J60" s="9" t="inlineStr">
        <is>
          <t>64x OSFP 2x800 Gb/s</t>
        </is>
      </c>
      <c r="N60" s="9" t="inlineStr">
        <is>
          <t>Spectrum-6 SN6000 3U 800GbE Ethernet switch: 64x OSFP 2x800 Gb/s</t>
        </is>
      </c>
      <c r="O60" s="14" t="inlineStr">
        <is>
          <t>https://networking-docs.nvidia.com/sn6000hw</t>
        </is>
      </c>
      <c r="P60" s="9" t="inlineStr">
        <is>
          <t>Ethernet switching SN6600  Spectrum-6 SN6000 documented — 920-9N63F-00RI-3C0 800GbE  64x OSFP 2x800 Gb/s    Spectrum-6 SN6000 3U 800GbE Ethernet switch: 64x OSFP 2x800 Gb/s</t>
        </is>
      </c>
      <c r="Q60" s="9">
        <f>IF(AND(Search!$B$2&lt;&gt;"",ISNUMBER(SEARCH(Search!$B$2,P60))),MAX(Q$1:Q59)+1,"")</f>
        <v/>
      </c>
    </row>
    <row r="61" ht="15" customHeight="1" s="10">
      <c r="A61" s="9" t="inlineStr">
        <is>
          <t>Ethernet switching</t>
        </is>
      </c>
      <c r="B61" s="9" t="inlineStr">
        <is>
          <t>SN5610</t>
        </is>
      </c>
      <c r="D61" s="9" t="inlineStr">
        <is>
          <t>Spectrum-4 SN5000</t>
        </is>
      </c>
      <c r="E61" s="9" t="inlineStr">
        <is>
          <t>documented</t>
        </is>
      </c>
      <c r="F61" s="9" t="inlineStr">
        <is>
          <t>—</t>
        </is>
      </c>
      <c r="G61" s="9" t="inlineStr">
        <is>
          <t>920-9N42F-00RI-3C1</t>
        </is>
      </c>
      <c r="H61" s="9" t="inlineStr">
        <is>
          <t>800GbE</t>
        </is>
      </c>
      <c r="J61" s="9" t="inlineStr">
        <is>
          <t>64x OSFP 800GbE; 2x SFP28 25GbE</t>
        </is>
      </c>
      <c r="N61" s="9" t="inlineStr">
        <is>
          <t>Spectrum-4 SN5000 2U 800GbE Ethernet switch: 64x OSFP 800GbE + 2x SFP28 25GbE</t>
        </is>
      </c>
      <c r="O61" s="14" t="inlineStr">
        <is>
          <t>https://networking-docs.nvidia.com/sn5000hw</t>
        </is>
      </c>
      <c r="P61" s="9" t="inlineStr">
        <is>
          <t>Ethernet switching SN5610  Spectrum-4 SN5000 documented — 920-9N42F-00RI-3C1 800GbE  64x OSFP 800GbE; 2x SFP28 25GbE    Spectrum-4 SN5000 2U 800GbE Ethernet switch: 64x OSFP 800GbE + 2x SFP28 25GbE</t>
        </is>
      </c>
      <c r="Q61" s="9">
        <f>IF(AND(Search!$B$2&lt;&gt;"",ISNUMBER(SEARCH(Search!$B$2,P61))),MAX(Q$1:Q60)+1,"")</f>
        <v/>
      </c>
    </row>
    <row r="62" ht="15" customHeight="1" s="10">
      <c r="A62" s="9" t="inlineStr">
        <is>
          <t>Ethernet switching</t>
        </is>
      </c>
      <c r="B62" s="9" t="inlineStr">
        <is>
          <t>SN5600</t>
        </is>
      </c>
      <c r="D62" s="9" t="inlineStr">
        <is>
          <t>Spectrum-4 SN5000</t>
        </is>
      </c>
      <c r="E62" s="9" t="inlineStr">
        <is>
          <t>end_of_life</t>
        </is>
      </c>
      <c r="F62" s="9" t="inlineStr">
        <is>
          <t>—</t>
        </is>
      </c>
      <c r="G62" s="9" t="inlineStr">
        <is>
          <t>920-9N42F-00RI-7C0</t>
        </is>
      </c>
      <c r="H62" s="9" t="inlineStr">
        <is>
          <t>800GbE</t>
        </is>
      </c>
      <c r="J62" s="9" t="inlineStr">
        <is>
          <t>64x OSFP 800GbE; 1x SFP28 25GbE</t>
        </is>
      </c>
      <c r="N62" s="9" t="inlineStr">
        <is>
          <t>Spectrum-4 SN5000 2U 800GbE Ethernet switch: 64x OSFP 800GbE + 1x SFP28 25GbE</t>
        </is>
      </c>
      <c r="O62" s="14" t="inlineStr">
        <is>
          <t>https://networking-docs.nvidia.com/sn5000hw</t>
        </is>
      </c>
      <c r="P62" s="9" t="inlineStr">
        <is>
          <t>Ethernet switching SN5600  Spectrum-4 SN5000 end_of_life — 920-9N42F-00RI-7C0 800GbE  64x OSFP 800GbE; 1x SFP28 25GbE    Spectrum-4 SN5000 2U 800GbE Ethernet switch: 64x OSFP 800GbE + 1x SFP28 25GbE</t>
        </is>
      </c>
      <c r="Q62" s="9">
        <f>IF(AND(Search!$B$2&lt;&gt;"",ISNUMBER(SEARCH(Search!$B$2,P62))),MAX(Q$1:Q61)+1,"")</f>
        <v/>
      </c>
    </row>
    <row r="63" ht="15" customHeight="1" s="10">
      <c r="A63" s="9" t="inlineStr">
        <is>
          <t>Ethernet switching</t>
        </is>
      </c>
      <c r="B63" s="9" t="inlineStr">
        <is>
          <t>SN5600D</t>
        </is>
      </c>
      <c r="D63" s="9" t="inlineStr">
        <is>
          <t>Spectrum-4 SN5000</t>
        </is>
      </c>
      <c r="E63" s="9" t="inlineStr">
        <is>
          <t>documented</t>
        </is>
      </c>
      <c r="F63" s="9" t="inlineStr">
        <is>
          <t>—</t>
        </is>
      </c>
      <c r="G63" s="9" t="inlineStr">
        <is>
          <t>920-9N42F-00RI-KC0</t>
        </is>
      </c>
      <c r="H63" s="9" t="inlineStr">
        <is>
          <t>800GbE</t>
        </is>
      </c>
      <c r="J63" s="9" t="inlineStr">
        <is>
          <t>64x OSFP 800GbE; 1x SFP28 25GbE</t>
        </is>
      </c>
      <c r="N63" s="9" t="inlineStr">
        <is>
          <t>Spectrum-4 SN5000 2U 800GbE Ethernet switch: 64x OSFP 800GbE + 1x SFP28 25GbE</t>
        </is>
      </c>
      <c r="O63" s="14" t="inlineStr">
        <is>
          <t>https://networking-docs.nvidia.com/sn5000hw</t>
        </is>
      </c>
      <c r="P63" s="9" t="inlineStr">
        <is>
          <t>Ethernet switching SN5600D  Spectrum-4 SN5000 documented — 920-9N42F-00RI-KC0 800GbE  64x OSFP 800GbE; 1x SFP28 25GbE    Spectrum-4 SN5000 2U 800GbE Ethernet switch: 64x OSFP 800GbE + 1x SFP28 25GbE</t>
        </is>
      </c>
      <c r="Q63" s="9">
        <f>IF(AND(Search!$B$2&lt;&gt;"",ISNUMBER(SEARCH(Search!$B$2,P63))),MAX(Q$1:Q62)+1,"")</f>
        <v/>
      </c>
    </row>
    <row r="64" ht="15" customHeight="1" s="10">
      <c r="A64" s="9" t="inlineStr">
        <is>
          <t>Ethernet switching</t>
        </is>
      </c>
      <c r="B64" s="9" t="inlineStr">
        <is>
          <t>SN5400</t>
        </is>
      </c>
      <c r="D64" s="9" t="inlineStr">
        <is>
          <t>Spectrum-4 SN5000</t>
        </is>
      </c>
      <c r="E64" s="9" t="inlineStr">
        <is>
          <t>documented</t>
        </is>
      </c>
      <c r="F64" s="9" t="inlineStr">
        <is>
          <t>—</t>
        </is>
      </c>
      <c r="G64" s="9" t="inlineStr">
        <is>
          <t>920-9N42C-00RB-7C0, 920-9N42C-00FB-7C0</t>
        </is>
      </c>
      <c r="H64" s="9" t="inlineStr">
        <is>
          <t>400GbE</t>
        </is>
      </c>
      <c r="J64" s="9" t="inlineStr">
        <is>
          <t>64x QSFP-DD 400GbE; 2x SFP28 25GbE</t>
        </is>
      </c>
      <c r="N64" s="9" t="inlineStr">
        <is>
          <t>Spectrum-4 SN5000 2U 400GbE Ethernet switch: 64x QSFP-DD 400GbE + 2x SFP28 25GbE</t>
        </is>
      </c>
      <c r="O64" s="14" t="inlineStr">
        <is>
          <t>https://networking-docs.nvidia.com/sn5000hw</t>
        </is>
      </c>
      <c r="P64" s="9" t="inlineStr">
        <is>
          <t>Ethernet switching SN5400  Spectrum-4 SN5000 documented — 920-9N42C-00RB-7C0, 920-9N42C-00FB-7C0 400GbE  64x QSFP-DD 400GbE; 2x SFP28 25GbE    Spectrum-4 SN5000 2U 400GbE Ethernet switch: 64x QSFP-DD 400GbE + 2x SFP28 25GbE</t>
        </is>
      </c>
      <c r="Q64" s="9">
        <f>IF(AND(Search!$B$2&lt;&gt;"",ISNUMBER(SEARCH(Search!$B$2,P64))),MAX(Q$1:Q63)+1,"")</f>
        <v/>
      </c>
    </row>
    <row r="65" ht="15" customHeight="1" s="10">
      <c r="A65" s="9" t="inlineStr">
        <is>
          <t>Ethernet switching</t>
        </is>
      </c>
      <c r="B65" s="9" t="inlineStr">
        <is>
          <t>SN4600C</t>
        </is>
      </c>
      <c r="D65" s="9" t="inlineStr">
        <is>
          <t>Spectrum-3 SN4000</t>
        </is>
      </c>
      <c r="E65" s="9" t="inlineStr">
        <is>
          <t>documented</t>
        </is>
      </c>
      <c r="F65" s="9" t="inlineStr">
        <is>
          <t>MSN4600-CS2FC / MSN4600-CS2RC</t>
        </is>
      </c>
      <c r="G65" s="9" t="inlineStr">
        <is>
          <t>920-9N302-00F7-0C2, 920-9N302-00R7-0C0</t>
        </is>
      </c>
      <c r="H65" s="9" t="inlineStr">
        <is>
          <t>100GbE</t>
        </is>
      </c>
      <c r="J65" s="9" t="inlineStr">
        <is>
          <t>64x QSFP28 100GbE</t>
        </is>
      </c>
      <c r="N65" s="9" t="inlineStr">
        <is>
          <t>Spectrum-3 SN4000 2U 100GbE Ethernet switch: 64x QSFP28 100GbE</t>
        </is>
      </c>
      <c r="O65" s="14" t="inlineStr">
        <is>
          <t>https://networking-docs.nvidia.com/sn4000hw</t>
        </is>
      </c>
      <c r="P65" s="9" t="inlineStr">
        <is>
          <t>Ethernet switching SN4600C  Spectrum-3 SN4000 documented MSN4600-CS2FC / MSN4600-CS2RC 920-9N302-00F7-0C2, 920-9N302-00R7-0C0 100GbE  64x QSFP28 100GbE    Spectrum-3 SN4000 2U 100GbE Ethernet switch: 64x QSFP28 100GbE</t>
        </is>
      </c>
      <c r="Q65" s="9">
        <f>IF(AND(Search!$B$2&lt;&gt;"",ISNUMBER(SEARCH(Search!$B$2,P65))),MAX(Q$1:Q64)+1,"")</f>
        <v/>
      </c>
    </row>
    <row r="66" ht="15" customHeight="1" s="10">
      <c r="A66" s="9" t="inlineStr">
        <is>
          <t>Ethernet switching</t>
        </is>
      </c>
      <c r="B66" s="9" t="inlineStr">
        <is>
          <t>SN4700</t>
        </is>
      </c>
      <c r="D66" s="9" t="inlineStr">
        <is>
          <t>Spectrum-3 SN4000</t>
        </is>
      </c>
      <c r="E66" s="9" t="inlineStr">
        <is>
          <t>documented</t>
        </is>
      </c>
      <c r="F66" s="9" t="inlineStr">
        <is>
          <t>MSN4700-WS2FC / MSN4700-WS2RC</t>
        </is>
      </c>
      <c r="G66" s="9" t="inlineStr">
        <is>
          <t>920-9N301-00FB-0C0, 920-9N301-00RB-0C0</t>
        </is>
      </c>
      <c r="H66" s="9" t="inlineStr">
        <is>
          <t>400GbE</t>
        </is>
      </c>
      <c r="J66" s="9" t="inlineStr">
        <is>
          <t>32x QSFP-DD 400GbE</t>
        </is>
      </c>
      <c r="N66" s="9" t="inlineStr">
        <is>
          <t>Spectrum-3 SN4000 1U 400GbE Ethernet switch: 32x QSFP-DD 400GbE</t>
        </is>
      </c>
      <c r="O66" s="14" t="inlineStr">
        <is>
          <t>https://networking-docs.nvidia.com/sn4000hw</t>
        </is>
      </c>
      <c r="P66" s="9" t="inlineStr">
        <is>
          <t>Ethernet switching SN4700  Spectrum-3 SN4000 documented MSN4700-WS2FC / MSN4700-WS2RC 920-9N301-00FB-0C0, 920-9N301-00RB-0C0 400GbE  32x QSFP-DD 400GbE    Spectrum-3 SN4000 1U 400GbE Ethernet switch: 32x QSFP-DD 400GbE</t>
        </is>
      </c>
      <c r="Q66" s="9">
        <f>IF(AND(Search!$B$2&lt;&gt;"",ISNUMBER(SEARCH(Search!$B$2,P66))),MAX(Q$1:Q65)+1,"")</f>
        <v/>
      </c>
    </row>
    <row r="67" ht="15" customHeight="1" s="10">
      <c r="A67" s="9" t="inlineStr">
        <is>
          <t>Ethernet switching</t>
        </is>
      </c>
      <c r="B67" s="9" t="inlineStr">
        <is>
          <t>SN3420</t>
        </is>
      </c>
      <c r="D67" s="9" t="inlineStr">
        <is>
          <t>Spectrum-2 SN3000</t>
        </is>
      </c>
      <c r="E67" s="9" t="inlineStr">
        <is>
          <t>documented</t>
        </is>
      </c>
      <c r="F67" s="9" t="inlineStr">
        <is>
          <t>MSN3420-CB2FC / MSN3420-CB2RC</t>
        </is>
      </c>
      <c r="G67" s="9" t="inlineStr">
        <is>
          <t>920-9N213-00F7-0C0, 920-9N213-00R7-0C0</t>
        </is>
      </c>
      <c r="H67" s="9" t="inlineStr">
        <is>
          <t>100GbE</t>
        </is>
      </c>
      <c r="J67" s="9" t="inlineStr">
        <is>
          <t>12x QSFP28 100GbE; 48x SFP28 25GbE</t>
        </is>
      </c>
      <c r="N67" s="9" t="inlineStr">
        <is>
          <t>Spectrum-2 SN3000 1U 100GbE Ethernet switch: 12x QSFP28 100GbE + 48x SFP28 25GbE</t>
        </is>
      </c>
      <c r="O67" s="14" t="inlineStr">
        <is>
          <t>https://networking-docs.nvidia.com/sn3000hw</t>
        </is>
      </c>
      <c r="P67" s="9" t="inlineStr">
        <is>
          <t>Ethernet switching SN3420  Spectrum-2 SN3000 documented MSN3420-CB2FC / MSN3420-CB2RC 920-9N213-00F7-0C0, 920-9N213-00R7-0C0 100GbE  12x QSFP28 100GbE; 48x SFP28 25GbE    Spectrum-2 SN3000 1U 100GbE Ethernet switch: 12x QSFP28 100GbE + 48x SFP28 25GbE</t>
        </is>
      </c>
      <c r="Q67" s="9">
        <f>IF(AND(Search!$B$2&lt;&gt;"",ISNUMBER(SEARCH(Search!$B$2,P67))),MAX(Q$1:Q66)+1,"")</f>
        <v/>
      </c>
    </row>
    <row r="68" ht="15" customHeight="1" s="10">
      <c r="A68" s="9" t="inlineStr">
        <is>
          <t>Ethernet switching</t>
        </is>
      </c>
      <c r="B68" s="9" t="inlineStr">
        <is>
          <t>SN2201</t>
        </is>
      </c>
      <c r="D68" s="9" t="inlineStr">
        <is>
          <t>Spectrum SN2000</t>
        </is>
      </c>
      <c r="E68" s="9" t="inlineStr">
        <is>
          <t>documented</t>
        </is>
      </c>
      <c r="F68" s="9" t="inlineStr">
        <is>
          <t>MSN2201-CB2FC / MSN2201-CB2RC / MSN2201-CSMRC</t>
        </is>
      </c>
      <c r="G68" s="9" t="inlineStr">
        <is>
          <t>920-9N110-00F1-0C0, 920-9N110-00R1-0C0, 920-9N110-00R1-NC0</t>
        </is>
      </c>
      <c r="H68" s="9" t="inlineStr">
        <is>
          <t>100GbE</t>
        </is>
      </c>
      <c r="J68" s="9" t="inlineStr">
        <is>
          <t>48x RJ45 fixed; 4x QSFP28 100GbE</t>
        </is>
      </c>
      <c r="N68" s="9" t="inlineStr">
        <is>
          <t>Spectrum SN2000 1U 100GbE Ethernet switch: 48x RJ45 + 4x QSFP28 100GbE</t>
        </is>
      </c>
      <c r="O68" s="14" t="inlineStr">
        <is>
          <t>https://networking-docs.nvidia.com/sn2201hw</t>
        </is>
      </c>
      <c r="P68" s="9" t="inlineStr">
        <is>
          <t>Ethernet switching SN2201  Spectrum SN2000 documented MSN2201-CB2FC / MSN2201-CB2RC / MSN2201-CSMRC 920-9N110-00F1-0C0, 920-9N110-00R1-0C0, 920-9N110-00R1-NC0 100GbE  48x RJ45 fixed; 4x QSFP28 100GbE    Spectrum SN2000 1U 100GbE Ethernet switch: 48x RJ45 + 4x QSFP28 100GbE</t>
        </is>
      </c>
      <c r="Q68" s="9">
        <f>IF(AND(Search!$B$2&lt;&gt;"",ISNUMBER(SEARCH(Search!$B$2,P68))),MAX(Q$1:Q67)+1,"")</f>
        <v/>
      </c>
    </row>
    <row r="69" ht="15" customHeight="1" s="10">
      <c r="A69" s="9" t="inlineStr">
        <is>
          <t>Ethernet switching</t>
        </is>
      </c>
      <c r="B69" s="9" t="inlineStr">
        <is>
          <t>SN4600</t>
        </is>
      </c>
      <c r="D69" s="9" t="inlineStr">
        <is>
          <t>Spectrum-3 SN4000</t>
        </is>
      </c>
      <c r="E69" s="9" t="inlineStr">
        <is>
          <t>documented</t>
        </is>
      </c>
      <c r="F69" s="9" t="inlineStr">
        <is>
          <t>MSN4600-CS2FC / MSN4600-CS2RC</t>
        </is>
      </c>
      <c r="G69" s="9" t="inlineStr">
        <is>
          <t>920-9N302-00F7-0C2, 920-9N302-00R7-0C0</t>
        </is>
      </c>
      <c r="H69" s="9" t="inlineStr">
        <is>
          <t>100GbE</t>
        </is>
      </c>
      <c r="J69" s="9" t="inlineStr">
        <is>
          <t>64x QSFP28 100GbE</t>
        </is>
      </c>
      <c r="N69" s="9" t="inlineStr">
        <is>
          <t>Spectrum-3 SN4000 2U 100GbE Ethernet switch: 64x QSFP28 100GbE</t>
        </is>
      </c>
      <c r="O69" s="14" t="inlineStr">
        <is>
          <t>https://networking-docs.nvidia.com/sn4000hw</t>
        </is>
      </c>
      <c r="P69" s="9" t="inlineStr">
        <is>
          <t>Ethernet switching SN4600  Spectrum-3 SN4000 documented MSN4600-CS2FC / MSN4600-CS2RC 920-9N302-00F7-0C2, 920-9N302-00R7-0C0 100GbE  64x QSFP28 100GbE    Spectrum-3 SN4000 2U 100GbE Ethernet switch: 64x QSFP28 100GbE</t>
        </is>
      </c>
      <c r="Q69" s="9">
        <f>IF(AND(Search!$B$2&lt;&gt;"",ISNUMBER(SEARCH(Search!$B$2,P69))),MAX(Q$1:Q68)+1,"")</f>
        <v/>
      </c>
    </row>
    <row r="70" ht="15" customHeight="1" s="10">
      <c r="A70" s="9" t="inlineStr">
        <is>
          <t>Ethernet switching</t>
        </is>
      </c>
      <c r="B70" s="9" t="inlineStr">
        <is>
          <t>SN4700D</t>
        </is>
      </c>
      <c r="D70" s="9" t="inlineStr">
        <is>
          <t>Spectrum-3 SN4000</t>
        </is>
      </c>
      <c r="E70" s="9" t="inlineStr">
        <is>
          <t>documented</t>
        </is>
      </c>
      <c r="F70" s="9" t="inlineStr">
        <is>
          <t>MSN4700-WSARC</t>
        </is>
      </c>
      <c r="G70" s="9" t="inlineStr">
        <is>
          <t>920-9N301-00RB-NC0</t>
        </is>
      </c>
      <c r="H70" s="9" t="inlineStr">
        <is>
          <t>400GbE</t>
        </is>
      </c>
      <c r="J70" s="9" t="inlineStr">
        <is>
          <t>32x QSFP-DD 400GbE</t>
        </is>
      </c>
      <c r="N70" s="9" t="inlineStr">
        <is>
          <t>Spectrum-3 SN4000 1U 400GbE Ethernet switch: 32x QSFP-DD 400GbE</t>
        </is>
      </c>
      <c r="O70" s="14" t="inlineStr">
        <is>
          <t>https://networking-docs.nvidia.com/sn4000hw</t>
        </is>
      </c>
      <c r="P70" s="9" t="inlineStr">
        <is>
          <t>Ethernet switching SN4700D  Spectrum-3 SN4000 documented MSN4700-WSARC 920-9N301-00RB-NC0 400GbE  32x QSFP-DD 400GbE    Spectrum-3 SN4000 1U 400GbE Ethernet switch: 32x QSFP-DD 400GbE</t>
        </is>
      </c>
      <c r="Q70" s="9">
        <f>IF(AND(Search!$B$2&lt;&gt;"",ISNUMBER(SEARCH(Search!$B$2,P70))),MAX(Q$1:Q69)+1,"")</f>
        <v/>
      </c>
    </row>
    <row r="71" ht="15" customHeight="1" s="10">
      <c r="A71" s="9" t="inlineStr">
        <is>
          <t>InfiniBand switching / appliances / gateways</t>
        </is>
      </c>
      <c r="B71" s="9" t="inlineStr">
        <is>
          <t>Q3200-RA</t>
        </is>
      </c>
      <c r="D71" s="9" t="inlineStr">
        <is>
          <t>Quantum-X800</t>
        </is>
      </c>
      <c r="E71" s="9" t="inlineStr">
        <is>
          <t>documented</t>
        </is>
      </c>
      <c r="F71" s="9" t="inlineStr">
        <is>
          <t>—</t>
        </is>
      </c>
      <c r="G71" s="9" t="inlineStr">
        <is>
          <t>920-9B34F-00RX-FS0</t>
        </is>
      </c>
      <c r="H71" s="9" t="inlineStr">
        <is>
          <t>800Gb/s XDR</t>
        </is>
      </c>
      <c r="J71" s="9" t="inlineStr">
        <is>
          <t>36x OSFP 800Gb/s XDR (twin-port, 72 ports)</t>
        </is>
      </c>
      <c r="N71" s="9" t="inlineStr">
        <is>
          <t>Quantum-X800 800Gb/s XDR: 2x18 OSFP</t>
        </is>
      </c>
      <c r="O71" s="14" t="inlineStr">
        <is>
          <t>https://networking-docs.nvidia.com/switches#nvidiatab-hw-documentation</t>
        </is>
      </c>
      <c r="P71" s="9" t="inlineStr">
        <is>
          <t>InfiniBand switching / appliances / gateways Q3200-RA  Quantum-X800 documented — 920-9B34F-00RX-FS0 800Gb/s XDR  36x OSFP 800Gb/s XDR (twin-port, 72 ports)    Quantum-X800 800Gb/s XDR: 2x18 OSFP</t>
        </is>
      </c>
      <c r="Q71" s="9">
        <f>IF(AND(Search!$B$2&lt;&gt;"",ISNUMBER(SEARCH(Search!$B$2,P71))),MAX(Q$1:Q70)+1,"")</f>
        <v/>
      </c>
    </row>
    <row r="72" ht="15" customHeight="1" s="10">
      <c r="A72" s="9" t="inlineStr">
        <is>
          <t>InfiniBand switching / appliances / gateways</t>
        </is>
      </c>
      <c r="B72" s="9" t="inlineStr">
        <is>
          <t>Q3400-RA</t>
        </is>
      </c>
      <c r="D72" s="9" t="inlineStr">
        <is>
          <t>Quantum-X800</t>
        </is>
      </c>
      <c r="E72" s="9" t="inlineStr">
        <is>
          <t>documented</t>
        </is>
      </c>
      <c r="F72" s="9" t="inlineStr">
        <is>
          <t>—</t>
        </is>
      </c>
      <c r="G72" s="9" t="inlineStr">
        <is>
          <t>920-9B36F-00RX-8S0</t>
        </is>
      </c>
      <c r="H72" s="9" t="inlineStr">
        <is>
          <t>800Gb/s XDR</t>
        </is>
      </c>
      <c r="J72" s="9" t="inlineStr">
        <is>
          <t>72x OSFP 800Gb/s XDR (twin-port, 144 ports)</t>
        </is>
      </c>
      <c r="N72" s="9" t="inlineStr">
        <is>
          <t>Quantum-X800 800Gb/s XDR: 72x OSFP</t>
        </is>
      </c>
      <c r="O72" s="14" t="inlineStr">
        <is>
          <t>https://networking-docs.nvidia.com/switches#nvidiatab-hw-documentation</t>
        </is>
      </c>
      <c r="P72" s="9" t="inlineStr">
        <is>
          <t>InfiniBand switching / appliances / gateways Q3400-RA  Quantum-X800 documented — 920-9B36F-00RX-8S0 800Gb/s XDR  72x OSFP 800Gb/s XDR (twin-port, 144 ports)    Quantum-X800 800Gb/s XDR: 72x OSFP</t>
        </is>
      </c>
      <c r="Q72" s="9">
        <f>IF(AND(Search!$B$2&lt;&gt;"",ISNUMBER(SEARCH(Search!$B$2,P72))),MAX(Q$1:Q71)+1,"")</f>
        <v/>
      </c>
    </row>
    <row r="73" ht="15" customHeight="1" s="10">
      <c r="A73" s="9" t="inlineStr">
        <is>
          <t>InfiniBand switching / appliances / gateways</t>
        </is>
      </c>
      <c r="B73" s="9" t="inlineStr">
        <is>
          <t>Q3401-RD</t>
        </is>
      </c>
      <c r="D73" s="9" t="inlineStr">
        <is>
          <t>Quantum-X800</t>
        </is>
      </c>
      <c r="E73" s="9" t="inlineStr">
        <is>
          <t>documented</t>
        </is>
      </c>
      <c r="F73" s="9" t="inlineStr">
        <is>
          <t>—</t>
        </is>
      </c>
      <c r="G73" s="9" t="inlineStr">
        <is>
          <t>920-9B36P-00RX-8S0</t>
        </is>
      </c>
      <c r="H73" s="9" t="inlineStr">
        <is>
          <t>800Gb/s XDR</t>
        </is>
      </c>
      <c r="J73" s="9" t="inlineStr">
        <is>
          <t>72x OSFP 800Gb/s XDR (twin-port, 144 ports)</t>
        </is>
      </c>
      <c r="N73" s="9" t="inlineStr">
        <is>
          <t>Quantum-X800 800Gb/s XDR: 72x OSFP</t>
        </is>
      </c>
      <c r="O73" s="14" t="inlineStr">
        <is>
          <t>https://networking-docs.nvidia.com/switches#nvidiatab-hw-documentation</t>
        </is>
      </c>
      <c r="P73" s="9" t="inlineStr">
        <is>
          <t>InfiniBand switching / appliances / gateways Q3401-RD  Quantum-X800 documented — 920-9B36P-00RX-8S0 800Gb/s XDR  72x OSFP 800Gb/s XDR (twin-port, 144 ports)    Quantum-X800 800Gb/s XDR: 72x OSFP</t>
        </is>
      </c>
      <c r="Q73" s="9">
        <f>IF(AND(Search!$B$2&lt;&gt;"",ISNUMBER(SEARCH(Search!$B$2,P73))),MAX(Q$1:Q72)+1,"")</f>
        <v/>
      </c>
    </row>
    <row r="74" ht="15" customHeight="1" s="10">
      <c r="A74" s="9" t="inlineStr">
        <is>
          <t>InfiniBand switching / appliances / gateways</t>
        </is>
      </c>
      <c r="B74" s="9" t="inlineStr">
        <is>
          <t>Q3450-LD</t>
        </is>
      </c>
      <c r="D74" s="9" t="inlineStr">
        <is>
          <t>Quantum-X Photonics / Quantum-X800</t>
        </is>
      </c>
      <c r="E74" s="9" t="inlineStr">
        <is>
          <t>documented</t>
        </is>
      </c>
      <c r="F74" s="9" t="inlineStr">
        <is>
          <t>—</t>
        </is>
      </c>
      <c r="G74" s="9" t="inlineStr">
        <is>
          <t>920-9B36M-00MX-8ES</t>
        </is>
      </c>
      <c r="H74" s="9" t="inlineStr">
        <is>
          <t>800Gb/s XDR</t>
        </is>
      </c>
      <c r="J74" s="9" t="inlineStr">
        <is>
          <t>144x MPO-12 CPO 800Gb/s XDR fixed</t>
        </is>
      </c>
      <c r="N74" s="9" t="inlineStr">
        <is>
          <t>Quantum-X Photonics / Quantum-X800 800Gb/s XDR: 144x MPO12 CPO</t>
        </is>
      </c>
      <c r="O74" s="14" t="inlineStr">
        <is>
          <t>https://networking-docs.nvidia.com/switches#nvidiatab-hw-documentation</t>
        </is>
      </c>
      <c r="P74" s="9" t="inlineStr">
        <is>
          <t>InfiniBand switching / appliances / gateways Q3450-LD  Quantum-X Photonics / Quantum-X800 documented — 920-9B36M-00MX-8ES 800Gb/s XDR  144x MPO-12 CPO 800Gb/s XDR fixed    Quantum-X Photonics / Quantum-X800 800Gb/s XDR: 144x MPO12 CPO</t>
        </is>
      </c>
      <c r="Q74" s="9">
        <f>IF(AND(Search!$B$2&lt;&gt;"",ISNUMBER(SEARCH(Search!$B$2,P74))),MAX(Q$1:Q73)+1,"")</f>
        <v/>
      </c>
    </row>
    <row r="75" ht="15" customHeight="1" s="10">
      <c r="A75" s="9" t="inlineStr">
        <is>
          <t>InfiniBand switching / appliances / gateways</t>
        </is>
      </c>
      <c r="B75" s="9" t="inlineStr">
        <is>
          <t>QM9700 family</t>
        </is>
      </c>
      <c r="D75" s="9" t="inlineStr">
        <is>
          <t>Quantum-2</t>
        </is>
      </c>
      <c r="E75" s="9" t="inlineStr">
        <is>
          <t>documented</t>
        </is>
      </c>
      <c r="F75" s="9" t="inlineStr">
        <is>
          <t>—</t>
        </is>
      </c>
      <c r="G75" s="9" t="inlineStr">
        <is>
          <t>—</t>
        </is>
      </c>
      <c r="H75" s="9" t="inlineStr">
        <is>
          <t>400Gb/s NDR</t>
        </is>
      </c>
      <c r="J75" s="9" t="inlineStr">
        <is>
          <t>OSFP 400Gb/s NDR</t>
        </is>
      </c>
      <c r="N75" s="9" t="inlineStr">
        <is>
          <t>Quantum-2 400Gb/s NDR: OSFP</t>
        </is>
      </c>
      <c r="O75" s="14" t="inlineStr">
        <is>
          <t>https://networking-docs.nvidia.com/switches#nvidiatab-hw-documentation</t>
        </is>
      </c>
      <c r="P75" s="9" t="inlineStr">
        <is>
          <t>InfiniBand switching / appliances / gateways QM9700 family  Quantum-2 documented — — 400Gb/s NDR  OSFP 400Gb/s NDR    Quantum-2 400Gb/s NDR: OSFP</t>
        </is>
      </c>
      <c r="Q75" s="9">
        <f>IF(AND(Search!$B$2&lt;&gt;"",ISNUMBER(SEARCH(Search!$B$2,P75))),MAX(Q$1:Q74)+1,"")</f>
        <v/>
      </c>
    </row>
    <row r="76" ht="15" customHeight="1" s="10">
      <c r="A76" s="9" t="inlineStr">
        <is>
          <t>InfiniBand switching / appliances / gateways</t>
        </is>
      </c>
      <c r="B76" s="9" t="inlineStr">
        <is>
          <t>Skyway</t>
        </is>
      </c>
      <c r="D76" s="9" t="inlineStr">
        <is>
          <t>InfiniBand-to-Ethernet Gateway</t>
        </is>
      </c>
      <c r="E76" s="9" t="inlineStr">
        <is>
          <t>documented</t>
        </is>
      </c>
      <c r="F76" s="9" t="inlineStr">
        <is>
          <t>MGA100-HS2</t>
        </is>
      </c>
      <c r="G76" s="9" t="inlineStr">
        <is>
          <t>920-9B020-00FA-0D2</t>
        </is>
      </c>
      <c r="H76" s="9" t="inlineStr">
        <is>
          <t>100/200 Gb/s per port</t>
        </is>
      </c>
      <c r="J76" s="9" t="inlineStr">
        <is>
          <t>8x QSFP56 100/200 Gb/s [InfiniBand]; 8x QSFP56 100/200 Gb/s [Ethernet]</t>
        </is>
      </c>
      <c r="N76" s="9" t="inlineStr">
        <is>
          <t>InfiniBand-to-Ethernet Gateway 100/200 Gb/s per port: 8 ports per InfiniBand and Ethernet side</t>
        </is>
      </c>
      <c r="O76" s="14" t="inlineStr">
        <is>
          <t>https://networking-docs.nvidia.com/skyway</t>
        </is>
      </c>
      <c r="P76" s="9" t="inlineStr">
        <is>
          <t>InfiniBand switching / appliances / gateways Skyway  InfiniBand-to-Ethernet Gateway documented MGA100-HS2 920-9B020-00FA-0D2 100/200 Gb/s per port  8x QSFP56 100/200 Gb/s [InfiniBand]; 8x QSFP56 100/200 Gb/s [Ethernet]    InfiniBand-to-Ethernet Gateway 100/200 Gb/s per port: 8 ports per InfiniBand and Ethernet side</t>
        </is>
      </c>
      <c r="Q76" s="9">
        <f>IF(AND(Search!$B$2&lt;&gt;"",ISNUMBER(SEARCH(Search!$B$2,P76))),MAX(Q$1:Q75)+1,"")</f>
        <v/>
      </c>
    </row>
    <row r="77" ht="15" customHeight="1" s="10">
      <c r="A77" s="9" t="inlineStr">
        <is>
          <t>InfiniBand switching / appliances / gateways</t>
        </is>
      </c>
      <c r="B77" s="9" t="inlineStr">
        <is>
          <t>MetroX-3 XC</t>
        </is>
      </c>
      <c r="D77" s="9" t="inlineStr">
        <is>
          <t>Long-haul InfiniBand</t>
        </is>
      </c>
      <c r="E77" s="9" t="inlineStr">
        <is>
          <t>end_of_life</t>
        </is>
      </c>
      <c r="F77" s="9" t="inlineStr">
        <is>
          <t>MTQ8400-HS2R / MTQ8400-HS2RC</t>
        </is>
      </c>
      <c r="G77" s="9" t="inlineStr">
        <is>
          <t>920-9B020-00FA-0DZ, 920-9B020-00FA-6DZ</t>
        </is>
      </c>
      <c r="H77" s="9" t="inlineStr">
        <is>
          <t>InfiniBand extension</t>
        </is>
      </c>
      <c r="J77" s="9" t="inlineStr">
        <is>
          <t>OSFP; 2x QSFP112 100Gb/s long-haul (DWDM-ready)</t>
        </is>
      </c>
      <c r="N77" s="9" t="inlineStr">
        <is>
          <t>Long-haul InfiniBand InfiniBand extension</t>
        </is>
      </c>
      <c r="O77" s="14" t="inlineStr">
        <is>
          <t>https://networking-docs.nvidia.com/metrox3xc</t>
        </is>
      </c>
      <c r="P77" s="9" t="inlineStr">
        <is>
          <t>InfiniBand switching / appliances / gateways MetroX-3 XC  Long-haul InfiniBand end_of_life MTQ8400-HS2R / MTQ8400-HS2RC 920-9B020-00FA-0DZ, 920-9B020-00FA-6DZ InfiniBand extension  OSFP; 2x QSFP112 100Gb/s long-haul (DWDM-ready)    Long-haul InfiniBand InfiniBand extension</t>
        </is>
      </c>
      <c r="Q77" s="9">
        <f>IF(AND(Search!$B$2&lt;&gt;"",ISNUMBER(SEARCH(Search!$B$2,P77))),MAX(Q$1:Q76)+1,"")</f>
        <v/>
      </c>
    </row>
    <row r="78" ht="15" customHeight="1" s="10">
      <c r="A78" s="9" t="inlineStr">
        <is>
          <t>InfiniBand switching / appliances / gateways</t>
        </is>
      </c>
      <c r="B78" s="9" t="inlineStr">
        <is>
          <t>UFM Telemetry</t>
        </is>
      </c>
      <c r="D78" s="9" t="inlineStr">
        <is>
          <t>UFM platform</t>
        </is>
      </c>
      <c r="E78" s="9" t="inlineStr">
        <is>
          <t>documented</t>
        </is>
      </c>
      <c r="F78" s="9" t="inlineStr">
        <is>
          <t>—</t>
        </is>
      </c>
      <c r="G78" s="9" t="inlineStr">
        <is>
          <t>—</t>
        </is>
      </c>
      <c r="H78" s="9" t="inlineStr">
        <is>
          <t>—</t>
        </is>
      </c>
      <c r="J78" s="9" t="inlineStr">
        <is>
          <t>—</t>
        </is>
      </c>
      <c r="N78" s="9" t="inlineStr">
        <is>
          <t>UFM platform</t>
        </is>
      </c>
      <c r="O78" s="14" t="inlineStr">
        <is>
          <t>https://networking-docs.nvidia.com/switches#nvidiatab-hw-documentation</t>
        </is>
      </c>
      <c r="P78" s="9" t="inlineStr">
        <is>
          <t>InfiniBand switching / appliances / gateways UFM Telemetry  UFM platform documented — — —  —    UFM platform</t>
        </is>
      </c>
      <c r="Q78" s="9">
        <f>IF(AND(Search!$B$2&lt;&gt;"",ISNUMBER(SEARCH(Search!$B$2,P78))),MAX(Q$1:Q77)+1,"")</f>
        <v/>
      </c>
    </row>
    <row r="79" ht="15" customHeight="1" s="10">
      <c r="A79" s="9" t="inlineStr">
        <is>
          <t>InfiniBand switching / appliances / gateways</t>
        </is>
      </c>
      <c r="B79" s="9" t="inlineStr">
        <is>
          <t>UFM Enterprise</t>
        </is>
      </c>
      <c r="D79" s="9" t="inlineStr">
        <is>
          <t>UFM platform</t>
        </is>
      </c>
      <c r="E79" s="9" t="inlineStr">
        <is>
          <t>documented</t>
        </is>
      </c>
      <c r="F79" s="9" t="inlineStr">
        <is>
          <t>—</t>
        </is>
      </c>
      <c r="G79" s="9" t="inlineStr">
        <is>
          <t>—</t>
        </is>
      </c>
      <c r="H79" s="9" t="inlineStr">
        <is>
          <t>—</t>
        </is>
      </c>
      <c r="J79" s="9" t="inlineStr">
        <is>
          <t>—</t>
        </is>
      </c>
      <c r="N79" s="9" t="inlineStr">
        <is>
          <t>UFM platform</t>
        </is>
      </c>
      <c r="O79" s="14" t="inlineStr">
        <is>
          <t>https://networking-docs.nvidia.com/switches#nvidiatab-hw-documentation</t>
        </is>
      </c>
      <c r="P79" s="9" t="inlineStr">
        <is>
          <t>InfiniBand switching / appliances / gateways UFM Enterprise  UFM platform documented — — —  —    UFM platform</t>
        </is>
      </c>
      <c r="Q79" s="9">
        <f>IF(AND(Search!$B$2&lt;&gt;"",ISNUMBER(SEARCH(Search!$B$2,P79))),MAX(Q$1:Q78)+1,"")</f>
        <v/>
      </c>
    </row>
    <row r="80" ht="15" customHeight="1" s="10">
      <c r="A80" s="9" t="inlineStr">
        <is>
          <t>InfiniBand switching / appliances / gateways</t>
        </is>
      </c>
      <c r="B80" s="9" t="inlineStr">
        <is>
          <t>UFM Cyber-AI</t>
        </is>
      </c>
      <c r="D80" s="9" t="inlineStr">
        <is>
          <t>UFM platform</t>
        </is>
      </c>
      <c r="E80" s="9" t="inlineStr">
        <is>
          <t>documented</t>
        </is>
      </c>
      <c r="F80" s="9" t="inlineStr">
        <is>
          <t>—</t>
        </is>
      </c>
      <c r="G80" s="9" t="inlineStr">
        <is>
          <t>—</t>
        </is>
      </c>
      <c r="H80" s="9" t="inlineStr">
        <is>
          <t>—</t>
        </is>
      </c>
      <c r="J80" s="9" t="inlineStr">
        <is>
          <t>—</t>
        </is>
      </c>
      <c r="N80" s="9" t="inlineStr">
        <is>
          <t>UFM platform</t>
        </is>
      </c>
      <c r="O80" s="14" t="inlineStr">
        <is>
          <t>https://networking-docs.nvidia.com/switches#nvidiatab-hw-documentation</t>
        </is>
      </c>
      <c r="P80" s="9" t="inlineStr">
        <is>
          <t>InfiniBand switching / appliances / gateways UFM Cyber-AI  UFM platform documented — — —  —    UFM platform</t>
        </is>
      </c>
      <c r="Q80" s="9">
        <f>IF(AND(Search!$B$2&lt;&gt;"",ISNUMBER(SEARCH(Search!$B$2,P80))),MAX(Q$1:Q79)+1,"")</f>
        <v/>
      </c>
    </row>
    <row r="81" ht="15" customHeight="1" s="10">
      <c r="A81" s="9" t="inlineStr">
        <is>
          <t>InfiniBand switching / appliances / gateways</t>
        </is>
      </c>
      <c r="B81" s="9" t="inlineStr">
        <is>
          <t>Skyway-3</t>
        </is>
      </c>
      <c r="D81" s="9" t="inlineStr">
        <is>
          <t>InfiniBand-to-Ethernet Gateway</t>
        </is>
      </c>
      <c r="E81" s="9" t="inlineStr">
        <is>
          <t>active</t>
        </is>
      </c>
      <c r="F81" s="9" t="inlineStr">
        <is>
          <t>—</t>
        </is>
      </c>
      <c r="G81" s="9" t="inlineStr">
        <is>
          <t>920-9B02D-00RG-CF0, MGA400-XS2</t>
        </is>
      </c>
      <c r="H81" s="9" t="inlineStr">
        <is>
          <t>XDR/Ethernet gateway</t>
        </is>
      </c>
      <c r="J81" s="9" t="inlineStr">
        <is>
          <t>8x QSFP112 [InfiniBand]; 8x QSFP112 [Ethernet]</t>
        </is>
      </c>
      <c r="N81" s="9" t="inlineStr">
        <is>
          <t>InfiniBand-to-Ethernet Gateway XDR/Ethernet gateway: 8x IB + 8x Ethernet QSFP112</t>
        </is>
      </c>
      <c r="O81" s="14" t="inlineStr">
        <is>
          <t>https://networking-docs.nvidia.com/skyway3hw</t>
        </is>
      </c>
      <c r="P81" s="9" t="inlineStr">
        <is>
          <t>InfiniBand switching / appliances / gateways Skyway-3  InfiniBand-to-Ethernet Gateway active — 920-9B02D-00RG-CF0, MGA400-XS2 XDR/Ethernet gateway  8x QSFP112 [InfiniBand]; 8x QSFP112 [Ethernet]    InfiniBand-to-Ethernet Gateway XDR/Ethernet gateway: 8x IB + 8x Ethernet QSFP112</t>
        </is>
      </c>
      <c r="Q81" s="9">
        <f>IF(AND(Search!$B$2&lt;&gt;"",ISNUMBER(SEARCH(Search!$B$2,P81))),MAX(Q$1:Q80)+1,"")</f>
        <v/>
      </c>
    </row>
    <row r="82" ht="15" customHeight="1" s="10">
      <c r="A82" s="9" t="inlineStr">
        <is>
          <t>Silicon Photonics</t>
        </is>
      </c>
      <c r="B82" s="9" t="inlineStr">
        <is>
          <t>Q3450-LD</t>
        </is>
      </c>
      <c r="D82" s="9" t="inlineStr">
        <is>
          <t>Quantum-X InfiniBand Photonics</t>
        </is>
      </c>
      <c r="E82" s="9" t="inlineStr">
        <is>
          <t>documented</t>
        </is>
      </c>
      <c r="F82" s="9" t="inlineStr">
        <is>
          <t>—</t>
        </is>
      </c>
      <c r="G82" s="9" t="inlineStr">
        <is>
          <t>920-9B36M-00MX-8ES</t>
        </is>
      </c>
      <c r="H82" s="9" t="inlineStr">
        <is>
          <t>800Gb/s XDR</t>
        </is>
      </c>
      <c r="J82" s="9" t="inlineStr">
        <is>
          <t>144x MPO-12 CPO 800Gb/s XDR fixed</t>
        </is>
      </c>
      <c r="N82" s="9" t="inlineStr">
        <is>
          <t>Quantum-X InfiniBand Photonics: co-packaged optics, 800Gb/s XDR, 115.2 Tb/s</t>
        </is>
      </c>
      <c r="O82" s="14" t="inlineStr">
        <is>
          <t>https://networking-docs.nvidia.com/xdrswitcheshw</t>
        </is>
      </c>
      <c r="P82" s="9" t="inlineStr">
        <is>
          <t>Silicon Photonics Q3450-LD  Quantum-X InfiniBand Photonics documented — 920-9B36M-00MX-8ES 800Gb/s XDR  144x MPO-12 CPO 800Gb/s XDR fixed    Quantum-X InfiniBand Photonics: co-packaged optics, 800Gb/s XDR, 115.2 Tb/s</t>
        </is>
      </c>
      <c r="Q82" s="9">
        <f>IF(AND(Search!$B$2&lt;&gt;"",ISNUMBER(SEARCH(Search!$B$2,P82))),MAX(Q$1:Q81)+1,"")</f>
        <v/>
      </c>
    </row>
    <row r="83" ht="15" customHeight="1" s="10">
      <c r="A83" s="9" t="inlineStr">
        <is>
          <t>Silicon Photonics</t>
        </is>
      </c>
      <c r="B83" s="9" t="inlineStr">
        <is>
          <t>Spectrum-X Ethernet Photonics Switches</t>
        </is>
      </c>
      <c r="D83" s="9" t="inlineStr">
        <is>
          <t>Spectrum-X Ethernet Photonics</t>
        </is>
      </c>
      <c r="E83" s="9" t="inlineStr">
        <is>
          <t>active</t>
        </is>
      </c>
      <c r="F83" s="9" t="inlineStr">
        <is>
          <t>—</t>
        </is>
      </c>
      <c r="G83" s="9" t="inlineStr">
        <is>
          <t>—</t>
        </is>
      </c>
      <c r="H83" s="9" t="inlineStr">
        <is>
          <t>200G SerDes CPO architecture</t>
        </is>
      </c>
      <c r="J83" s="9" t="inlineStr">
        <is>
          <t>—</t>
        </is>
      </c>
      <c r="N83" s="9" t="inlineStr">
        <is>
          <t>Spectrum-X Ethernet Photonics: co-packaged optics, 200G SerDes CPO architecture, up to 409.6 Tb/s</t>
        </is>
      </c>
      <c r="O83" s="14" t="inlineStr">
        <is>
          <t>https://www.nvidia.com/en-us/networking/products/silicon-photonics/</t>
        </is>
      </c>
      <c r="P83" s="9" t="inlineStr">
        <is>
          <t>Silicon Photonics Spectrum-X Ethernet Photonics Switches  Spectrum-X Ethernet Photonics active — — 200G SerDes CPO architecture  —    Spectrum-X Ethernet Photonics: co-packaged optics, 200G SerDes CPO architecture, up to 409.6 Tb/s</t>
        </is>
      </c>
      <c r="Q83" s="9">
        <f>IF(AND(Search!$B$2&lt;&gt;"",ISNUMBER(SEARCH(Search!$B$2,P83))),MAX(Q$1:Q82)+1,"")</f>
        <v/>
      </c>
    </row>
    <row r="84" ht="15" customHeight="1" s="10">
      <c r="A84" s="9" t="inlineStr">
        <is>
          <t>DPU</t>
        </is>
      </c>
      <c r="B84" s="9" t="inlineStr">
        <is>
          <t>BlueField-4 DPU</t>
        </is>
      </c>
      <c r="D84" s="9" t="inlineStr">
        <is>
          <t>—</t>
        </is>
      </c>
      <c r="E84" s="9" t="inlineStr">
        <is>
          <t>documented</t>
        </is>
      </c>
      <c r="F84" s="9" t="inlineStr">
        <is>
          <t>—</t>
        </is>
      </c>
      <c r="G84" s="9" t="inlineStr">
        <is>
          <t>—</t>
        </is>
      </c>
      <c r="H84" s="9" t="inlineStr">
        <is>
          <t>800Gb/s</t>
        </is>
      </c>
      <c r="J84" s="9" t="inlineStr">
        <is>
          <t>QSFP112 800Gb/s</t>
        </is>
      </c>
      <c r="N84" s="9" t="inlineStr">
        <is>
          <t>BlueField-4 DPU, 800Gb/s: networking, storage, cybersecurity, secure multi-tenancy</t>
        </is>
      </c>
      <c r="O84" s="14" t="inlineStr">
        <is>
          <t>https://www.nvidia.com/en-eu/data-center/dgx-rubin-nvl8/</t>
        </is>
      </c>
      <c r="P84" s="9" t="inlineStr">
        <is>
          <t>DPU BlueField-4 DPU  — documented — — 800Gb/s  QSFP112 800Gb/s    BlueField-4 DPU, 800Gb/s: networking, storage, cybersecurity, secure multi-tenancy</t>
        </is>
      </c>
      <c r="Q84" s="9">
        <f>IF(AND(Search!$B$2&lt;&gt;"",ISNUMBER(SEARCH(Search!$B$2,P84))),MAX(Q$1:Q83)+1,"")</f>
        <v/>
      </c>
    </row>
    <row r="85" ht="15" customHeight="1" s="10">
      <c r="A85" s="9" t="inlineStr">
        <is>
          <t>DPU</t>
        </is>
      </c>
      <c r="B85" s="9" t="inlineStr">
        <is>
          <t>BlueField-4 STX Storage Processor</t>
        </is>
      </c>
      <c r="D85" s="9" t="inlineStr">
        <is>
          <t>—</t>
        </is>
      </c>
      <c r="E85" s="9" t="inlineStr">
        <is>
          <t>documented</t>
        </is>
      </c>
      <c r="F85" s="9" t="inlineStr">
        <is>
          <t>—</t>
        </is>
      </c>
      <c r="G85" s="9" t="inlineStr">
        <is>
          <t>—</t>
        </is>
      </c>
      <c r="H85" s="9" t="inlineStr">
        <is>
          <t>—</t>
        </is>
      </c>
      <c r="J85" s="9" t="inlineStr">
        <is>
          <t>—</t>
        </is>
      </c>
      <c r="N85" s="9" t="inlineStr">
        <is>
          <t>BlueField-4 STX Storage Processor: AI-native storage, Vera CPU, in-silicon security</t>
        </is>
      </c>
      <c r="O85" s="14" t="inlineStr">
        <is>
          <t>https://www.nvidia.com/en-us/networking/products/data-processing-unit/</t>
        </is>
      </c>
      <c r="P85" s="9" t="inlineStr">
        <is>
          <t>DPU BlueField-4 STX Storage Processor  — documented — — —  —    BlueField-4 STX Storage Processor: AI-native storage, Vera CPU, in-silicon security</t>
        </is>
      </c>
      <c r="Q85" s="9">
        <f>IF(AND(Search!$B$2&lt;&gt;"",ISNUMBER(SEARCH(Search!$B$2,P85))),MAX(Q$1:Q84)+1,"")</f>
        <v/>
      </c>
    </row>
    <row r="86" ht="15" customHeight="1" s="10">
      <c r="A86" s="9" t="inlineStr">
        <is>
          <t>DPU</t>
        </is>
      </c>
      <c r="B86" s="9" t="inlineStr">
        <is>
          <t>BlueField-3 DPU</t>
        </is>
      </c>
      <c r="D86" s="9" t="inlineStr">
        <is>
          <t>—</t>
        </is>
      </c>
      <c r="E86" s="9" t="inlineStr">
        <is>
          <t>documented</t>
        </is>
      </c>
      <c r="F86" s="9" t="inlineStr">
        <is>
          <t>—</t>
        </is>
      </c>
      <c r="G86" s="9" t="inlineStr">
        <is>
          <t>900-9D3B6-00CC-AA0, 900-9D3B6-00CC-EA0, 900-9D3B6-00CN-AB0, 900-9D3B6-00CN-PA0, 900-9D3B6-00CV-AA0, 900-9D3B6-00SC-AA0, 900-9D3B6-00SC-EA0, 900-9D3B6-00SN-AB0, 900-9D3B6-00SV-AA0, 900-9D3L6-00CN-AA0</t>
        </is>
      </c>
      <c r="H86" s="9" t="inlineStr">
        <is>
          <t>400Gb/s</t>
        </is>
      </c>
      <c r="J86" s="9" t="inlineStr">
        <is>
          <t>QSFP112 400Gb/s; QSFP56 400Gb/s; QSFP28 400Gb/s</t>
        </is>
      </c>
      <c r="N86" s="9" t="inlineStr">
        <is>
          <t>BlueField-3 DPU, 400Gb/s: SDN, storage, cybersecurity, HPC, 5G</t>
        </is>
      </c>
      <c r="O86" s="14" t="inlineStr">
        <is>
          <t>https://networking-docs.nvidia.com/bf3dpu</t>
        </is>
      </c>
      <c r="P86" s="9" t="inlineStr">
        <is>
          <t>DPU BlueField-3 DPU  — documented — 900-9D3B6-00CC-AA0, 900-9D3B6-00CC-EA0, 900-9D3B6-00CN-AB0, 900-9D3B6-00CN-PA0, 900-9D3B6-00CV-AA0, 900-9D3B6-00SC-AA0, 900-9D3B6-00SC-EA0, 900-9D3B6-00SN-AB0, 900-9D3B6-00SV-AA0, 900-9D3L6-00CN-AA0 400Gb/s  QSFP112 400Gb/s; QSFP56 400Gb/s; QSFP28 400Gb/s    BlueField-3 DPU, 400Gb/s: SDN, storage, cybersecurity, HPC, 5G</t>
        </is>
      </c>
      <c r="Q86" s="9">
        <f>IF(AND(Search!$B$2&lt;&gt;"",ISNUMBER(SEARCH(Search!$B$2,P86))),MAX(Q$1:Q85)+1,"")</f>
        <v/>
      </c>
    </row>
    <row r="87" ht="15" customHeight="1" s="10">
      <c r="A87" s="9" t="inlineStr">
        <is>
          <t>SuperNIC</t>
        </is>
      </c>
      <c r="B87" s="9" t="inlineStr">
        <is>
          <t>ConnectX-9 SuperNIC</t>
        </is>
      </c>
      <c r="D87" s="9" t="inlineStr">
        <is>
          <t>—</t>
        </is>
      </c>
      <c r="E87" s="9" t="inlineStr">
        <is>
          <t>documented</t>
        </is>
      </c>
      <c r="F87" s="9" t="inlineStr">
        <is>
          <t>—</t>
        </is>
      </c>
      <c r="G87" s="9" t="inlineStr">
        <is>
          <t>900-9X91E-00EB-ST0, 900-9X91Q-00CN-ST0, 900-9X91E-00EB-DT0, 900-9X91E-00QB-ST0, 900-9X91Q-00RN-ST0, 900-9X91Q-00RV-ST0, 900-9X91Q-00RC-ST0</t>
        </is>
      </c>
      <c r="H87" s="9" t="inlineStr">
        <is>
          <t>up to 1.6 Tb/s per GPU</t>
        </is>
      </c>
      <c r="J87" s="9" t="inlineStr">
        <is>
          <t>1x OSFP 800GbE / XDR 800Gb/s (C9180); 2x QSFP112 2x400GbE / 400Gb/s IB (C9240); 2x QSFP112 400GbE (C9220); 2x QSFP112 200GbE (C9210)</t>
        </is>
      </c>
      <c r="N87" s="9" t="inlineStr">
        <is>
          <t>ConnectX-9 SuperNIC, up to 1.6 Tb/s per GPU: Spectrum-X Ethernet, AI fabrics</t>
        </is>
      </c>
      <c r="O87" s="14" t="inlineStr">
        <is>
          <t>https://networking-docs.nvidia.com/connectx9hw</t>
        </is>
      </c>
      <c r="P87" s="9" t="inlineStr">
        <is>
          <t>SuperNIC ConnectX-9 SuperNIC  — documented — 900-9X91E-00EB-ST0, 900-9X91Q-00CN-ST0, 900-9X91E-00EB-DT0, 900-9X91E-00QB-ST0, 900-9X91Q-00RN-ST0, 900-9X91Q-00RV-ST0, 900-9X91Q-00RC-ST0 up to 1.6 Tb/s per GPU  1x OSFP 800GbE / XDR 800Gb/s (C9180); 2x QSFP112 2x400GbE / 400Gb/s IB (C9240); 2x QSFP112 400GbE (C9220); 2x QSFP112 200GbE (C9210)    ConnectX-9 SuperNIC, up to 1.6 Tb/s per GPU: Spectrum-X Ethernet, AI fabrics</t>
        </is>
      </c>
      <c r="Q87" s="9">
        <f>IF(AND(Search!$B$2&lt;&gt;"",ISNUMBER(SEARCH(Search!$B$2,P87))),MAX(Q$1:Q86)+1,"")</f>
        <v/>
      </c>
    </row>
    <row r="88" ht="15" customHeight="1" s="10">
      <c r="A88" s="9" t="inlineStr">
        <is>
          <t>SuperNIC</t>
        </is>
      </c>
      <c r="B88" s="9" t="inlineStr">
        <is>
          <t>ConnectX-8 SuperNIC</t>
        </is>
      </c>
      <c r="D88" s="9" t="inlineStr">
        <is>
          <t>—</t>
        </is>
      </c>
      <c r="E88" s="9" t="inlineStr">
        <is>
          <t>documented</t>
        </is>
      </c>
      <c r="F88" s="9" t="inlineStr">
        <is>
          <t>—</t>
        </is>
      </c>
      <c r="G88" s="9" t="inlineStr">
        <is>
          <t>900-9X81E-00EX-ST0, 900-9X81Q-00CN-ST0, 900-9X81E-00EX-DT0, 900-9X81E-00EX-SL0</t>
        </is>
      </c>
      <c r="H88" s="9" t="inlineStr">
        <is>
          <t>up to 800 Gb/s total network bandwidth</t>
        </is>
      </c>
      <c r="J88" s="9" t="inlineStr">
        <is>
          <t>1x OSFP XDR 800Gb/s / 2x400GbE (C8180); 2x QSFP112 400GbE / 400Gb/s IB (C8240); 1x OSFP XDR 800Gb/s / 2x400GbE (C8180L Partner Cooled)</t>
        </is>
      </c>
      <c r="N88" s="9" t="inlineStr">
        <is>
          <t>ConnectX-8 SuperNIC, up to 800 Gb/s total network bandwidth: PCIe Gen6, Spectrum-X Ethernet, AI compute fabrics</t>
        </is>
      </c>
      <c r="O88" s="14" t="inlineStr">
        <is>
          <t>https://networking-docs.nvidia.com/connectx8hw</t>
        </is>
      </c>
      <c r="P88" s="9" t="inlineStr">
        <is>
          <t>SuperNIC ConnectX-8 SuperNIC  — documented — 900-9X81E-00EX-ST0, 900-9X81Q-00CN-ST0, 900-9X81E-00EX-DT0, 900-9X81E-00EX-SL0 up to 800 Gb/s total network bandwidth  1x OSFP XDR 800Gb/s / 2x400GbE (C8180); 2x QSFP112 400GbE / 400Gb/s IB (C8240); 1x OSFP XDR 800Gb/s / 2x400GbE (C8180L Partner Cooled)    ConnectX-8 SuperNIC, up to 800 Gb/s total network bandwidth: PCIe Gen6, Spectrum-X Ethernet, AI compute fabrics</t>
        </is>
      </c>
      <c r="Q88" s="9">
        <f>IF(AND(Search!$B$2&lt;&gt;"",ISNUMBER(SEARCH(Search!$B$2,P88))),MAX(Q$1:Q87)+1,"")</f>
        <v/>
      </c>
    </row>
    <row r="89" ht="15" customHeight="1" s="10">
      <c r="A89" s="9" t="inlineStr">
        <is>
          <t>SuperNIC</t>
        </is>
      </c>
      <c r="B89" s="9" t="inlineStr">
        <is>
          <t>BlueField-3 SuperNIC</t>
        </is>
      </c>
      <c r="D89" s="9" t="inlineStr">
        <is>
          <t>—</t>
        </is>
      </c>
      <c r="E89" s="9" t="inlineStr">
        <is>
          <t>documented</t>
        </is>
      </c>
      <c r="F89" s="9" t="inlineStr">
        <is>
          <t>—</t>
        </is>
      </c>
      <c r="G89" s="9" t="inlineStr">
        <is>
          <t>900-9D3B4-00CC-EA0, 900-9D3B4-00CV-EA0, 900-9D3B4-00EN-EA0, 900-9D3B4-00PN-EA0, 900-9D3B4-00SC-EA0, 900-9D3B4-00SV-EA0, 900-9D3D4-00EN-HA0, 900-9D3D4-00NN-HA0</t>
        </is>
      </c>
      <c r="H89" s="9" t="inlineStr">
        <is>
          <t>up to 400 Gb/s</t>
        </is>
      </c>
      <c r="J89" s="9" t="inlineStr">
        <is>
          <t>QSFP112 up to 400 Gb/s; QSFP56 up to 400 Gb/s; QSFP28 up to 400 Gb/s</t>
        </is>
      </c>
      <c r="N89" s="9" t="inlineStr">
        <is>
          <t>BlueField-3 SuperNIC, up to 400 Gb/s: Spectrum-X Ethernet, secure cloud multi-tenancy, deterministic isolated performance</t>
        </is>
      </c>
      <c r="O89" s="14" t="inlineStr">
        <is>
          <t>https://networking-docs.nvidia.com/bf3dpu</t>
        </is>
      </c>
      <c r="P89" s="9" t="inlineStr">
        <is>
          <t>SuperNIC BlueField-3 SuperNIC  — documented — 900-9D3B4-00CC-EA0, 900-9D3B4-00CV-EA0, 900-9D3B4-00EN-EA0, 900-9D3B4-00PN-EA0, 900-9D3B4-00SC-EA0, 900-9D3B4-00SV-EA0, 900-9D3D4-00EN-HA0, 900-9D3D4-00NN-HA0 up to 400 Gb/s  QSFP112 up to 400 Gb/s; QSFP56 up to 400 Gb/s; QSFP28 up to 400 Gb/s    BlueField-3 SuperNIC, up to 400 Gb/s: Spectrum-X Ethernet, secure cloud multi-tenancy, deterministic isolated performance</t>
        </is>
      </c>
      <c r="Q89" s="9">
        <f>IF(AND(Search!$B$2&lt;&gt;"",ISNUMBER(SEARCH(Search!$B$2,P89))),MAX(Q$1:Q88)+1,"")</f>
        <v/>
      </c>
    </row>
    <row r="90" ht="15" customHeight="1" s="10">
      <c r="A90" s="9" t="inlineStr">
        <is>
          <t>Network adapters</t>
        </is>
      </c>
      <c r="B90" s="9" t="inlineStr">
        <is>
          <t>C9180</t>
        </is>
      </c>
      <c r="D90" s="9" t="inlineStr">
        <is>
          <t>ConnectX-9</t>
        </is>
      </c>
      <c r="E90" s="9" t="inlineStr">
        <is>
          <t>MP</t>
        </is>
      </c>
      <c r="F90" s="9" t="inlineStr">
        <is>
          <t>—</t>
        </is>
      </c>
      <c r="G90" s="9" t="inlineStr">
        <is>
          <t>900-9X91E-00EB-ST0, 900-9X91E-00EB-DT0, 900-9X91E-00QB-ST0</t>
        </is>
      </c>
      <c r="H90" s="9" t="inlineStr">
        <is>
          <t>800GbE / XDR 800Gb/s</t>
        </is>
      </c>
      <c r="I90" s="9" t="inlineStr">
        <is>
          <t>single-cage OSFP</t>
        </is>
      </c>
      <c r="J90" s="9" t="inlineStr">
        <is>
          <t>1x OSFP 800GbE / XDR 800Gb/s (C9180)</t>
        </is>
      </c>
      <c r="O90" s="14" t="inlineStr">
        <is>
          <t>https://networking-docs.nvidia.com/connectx9hw</t>
        </is>
      </c>
      <c r="P90" s="9" t="inlineStr">
        <is>
          <t xml:space="preserve">Network adapters C9180  ConnectX-9 MP — 900-9X91E-00EB-ST0, 900-9X91E-00EB-DT0, 900-9X91E-00QB-ST0 800GbE / XDR 800Gb/s single-cage OSFP 1x OSFP 800GbE / XDR 800Gb/s (C9180)    </t>
        </is>
      </c>
      <c r="Q90" s="9">
        <f>IF(AND(Search!$B$2&lt;&gt;"",ISNUMBER(SEARCH(Search!$B$2,P90))),MAX(Q$1:Q89)+1,"")</f>
        <v/>
      </c>
    </row>
    <row r="91" ht="15" customHeight="1" s="10">
      <c r="A91" s="9" t="inlineStr">
        <is>
          <t>Network adapters</t>
        </is>
      </c>
      <c r="B91" s="9" t="inlineStr">
        <is>
          <t>C9240</t>
        </is>
      </c>
      <c r="D91" s="9" t="inlineStr">
        <is>
          <t>ConnectX-9</t>
        </is>
      </c>
      <c r="E91" s="9" t="inlineStr">
        <is>
          <t>MP</t>
        </is>
      </c>
      <c r="F91" s="9" t="inlineStr">
        <is>
          <t>—</t>
        </is>
      </c>
      <c r="G91" s="9" t="inlineStr">
        <is>
          <t>900-9X91Q-00CN-ST0, 900-9X91Q-00RN-ST0</t>
        </is>
      </c>
      <c r="H91" s="9" t="inlineStr">
        <is>
          <t>2x400GbE / 400Gb/s IB</t>
        </is>
      </c>
      <c r="I91" s="9" t="inlineStr">
        <is>
          <t>dual QSFP112</t>
        </is>
      </c>
      <c r="J91" s="9" t="inlineStr">
        <is>
          <t>2x QSFP112 2x400GbE / 400Gb/s IB (C9240)</t>
        </is>
      </c>
      <c r="O91" s="14" t="inlineStr">
        <is>
          <t>https://networking-docs.nvidia.com/connectx9hw</t>
        </is>
      </c>
      <c r="P91" s="9" t="inlineStr">
        <is>
          <t xml:space="preserve">Network adapters C9240  ConnectX-9 MP — 900-9X91Q-00CN-ST0, 900-9X91Q-00RN-ST0 2x400GbE / 400Gb/s IB dual QSFP112 2x QSFP112 2x400GbE / 400Gb/s IB (C9240)    </t>
        </is>
      </c>
      <c r="Q91" s="9">
        <f>IF(AND(Search!$B$2&lt;&gt;"",ISNUMBER(SEARCH(Search!$B$2,P91))),MAX(Q$1:Q90)+1,"")</f>
        <v/>
      </c>
    </row>
    <row r="92" ht="15" customHeight="1" s="10">
      <c r="A92" s="9" t="inlineStr">
        <is>
          <t>Network adapters</t>
        </is>
      </c>
      <c r="B92" s="9" t="inlineStr">
        <is>
          <t>C8180</t>
        </is>
      </c>
      <c r="D92" s="9" t="inlineStr">
        <is>
          <t>ConnectX-8</t>
        </is>
      </c>
      <c r="E92" s="9" t="inlineStr">
        <is>
          <t>MP</t>
        </is>
      </c>
      <c r="F92" s="9" t="inlineStr">
        <is>
          <t>—</t>
        </is>
      </c>
      <c r="G92" s="9" t="inlineStr">
        <is>
          <t>900-9X81E-00EX-ST0, 900-9X81E-00EX-DT0</t>
        </is>
      </c>
      <c r="H92" s="9" t="inlineStr">
        <is>
          <t>XDR 800Gb/s / 2x400GbE</t>
        </is>
      </c>
      <c r="I92" s="9" t="inlineStr">
        <is>
          <t>single-cage OSFP</t>
        </is>
      </c>
      <c r="J92" s="9" t="inlineStr">
        <is>
          <t>1x OSFP XDR 800Gb/s / 2x400GbE (C8180)</t>
        </is>
      </c>
      <c r="O92" s="14" t="inlineStr">
        <is>
          <t>https://networking-docs.nvidia.com/connectx8hw</t>
        </is>
      </c>
      <c r="P92" s="9" t="inlineStr">
        <is>
          <t xml:space="preserve">Network adapters C8180  ConnectX-8 MP — 900-9X81E-00EX-ST0, 900-9X81E-00EX-DT0 XDR 800Gb/s / 2x400GbE single-cage OSFP 1x OSFP XDR 800Gb/s / 2x400GbE (C8180)    </t>
        </is>
      </c>
      <c r="Q92" s="9">
        <f>IF(AND(Search!$B$2&lt;&gt;"",ISNUMBER(SEARCH(Search!$B$2,P92))),MAX(Q$1:Q91)+1,"")</f>
        <v/>
      </c>
    </row>
    <row r="93" ht="15" customHeight="1" s="10">
      <c r="A93" s="9" t="inlineStr">
        <is>
          <t>Network adapters</t>
        </is>
      </c>
      <c r="B93" s="9" t="inlineStr">
        <is>
          <t>C8240</t>
        </is>
      </c>
      <c r="D93" s="9" t="inlineStr">
        <is>
          <t>ConnectX-8</t>
        </is>
      </c>
      <c r="E93" s="9" t="inlineStr">
        <is>
          <t>active</t>
        </is>
      </c>
      <c r="F93" s="9" t="inlineStr">
        <is>
          <t>—</t>
        </is>
      </c>
      <c r="G93" s="9" t="inlineStr">
        <is>
          <t>900-9X81Q-00CN-ST0</t>
        </is>
      </c>
      <c r="H93" s="9" t="inlineStr">
        <is>
          <t>400GbE / 400Gb/s IB</t>
        </is>
      </c>
      <c r="I93" s="9" t="inlineStr">
        <is>
          <t>dual QSFP112</t>
        </is>
      </c>
      <c r="J93" s="9" t="inlineStr">
        <is>
          <t>2x QSFP112 400GbE / 400Gb/s IB (C8240)</t>
        </is>
      </c>
      <c r="O93" s="14" t="inlineStr">
        <is>
          <t>https://networking-docs.nvidia.com/connectx8hw</t>
        </is>
      </c>
      <c r="P93" s="9" t="inlineStr">
        <is>
          <t xml:space="preserve">Network adapters C8240  ConnectX-8 active — 900-9X81Q-00CN-ST0 400GbE / 400Gb/s IB dual QSFP112 2x QSFP112 400GbE / 400Gb/s IB (C8240)    </t>
        </is>
      </c>
      <c r="Q93" s="9">
        <f>IF(AND(Search!$B$2&lt;&gt;"",ISNUMBER(SEARCH(Search!$B$2,P93))),MAX(Q$1:Q92)+1,"")</f>
        <v/>
      </c>
    </row>
    <row r="94" ht="15" customHeight="1" s="10">
      <c r="A94" s="9" t="inlineStr">
        <is>
          <t>Network adapters</t>
        </is>
      </c>
      <c r="B94" s="9" t="inlineStr">
        <is>
          <t>ConnectX-7</t>
        </is>
      </c>
      <c r="D94" s="9" t="inlineStr">
        <is>
          <t>ConnectX-7</t>
        </is>
      </c>
      <c r="E94" s="9" t="inlineStr">
        <is>
          <t>documented</t>
        </is>
      </c>
      <c r="F94" s="9" t="inlineStr">
        <is>
          <t>MCX713104AC-ADAT, MCX713104AS-ADAT, MCX713105AS-WEAT, MCX713106AC-CEAT, MCX713106AC-VEAT, MCX713106AS-CEAT, MCX713106AS-VEAT, MCX713114GC-GEAT, MCX713114TC-GEAT, MCX715105AS-WEAT, MCX75310AAC-NEAT, MCX75310AAS-HEAT, MCX75310AAS-NEAT, MCX755106AC-HEAT, MCX755106AS-HEAT, MCX75510AAS-HEAT, MCX75510AAS-NEAT</t>
        </is>
      </c>
      <c r="G94" s="9" t="inlineStr">
        <is>
          <t>900-9X721-003N-DT0, 900-9X721-003N-DT1, 900-9X766-003N-SQ0, 900-9X766-003N-SR0, 900-9X766-003N-ST0, 900-9X7AH-0039-ST1, 900-9X7AH-0039-STZ, 900-9X7AH-004N-CT0, 900-9X7AH-004N-GT0, 900-9X7AH-0076-ST0, 900-9X7AH-0078-DTZ, 900-9X7AH-0078-ST0, 900-9X7AH-0079-DTZ, 900-9X7AH-0086-SQ0, 900-9X7AH-0088-ST0, 900-9X7AO-0003-ST0, 900-9X7AO-00C3-STZ</t>
        </is>
      </c>
      <c r="H94" s="9" t="inlineStr">
        <is>
          <t>up to 400Gb/s IB/Ethernet</t>
        </is>
      </c>
      <c r="I94" s="9" t="inlineStr">
        <is>
          <t>OSFP / QSFP112 by SKU</t>
        </is>
      </c>
      <c r="J94" s="9" t="inlineStr">
        <is>
          <t>OSFP up to 400Gb/s IB/Ethernet (ConnectX-7); QSFP112 up to 400Gb/s IB/Ethernet (ConnectX-7)</t>
        </is>
      </c>
      <c r="O94" s="14" t="inlineStr">
        <is>
          <t>https://networking-docs.nvidia.com/connectx7hw</t>
        </is>
      </c>
      <c r="P94" s="9" t="inlineStr">
        <is>
          <t xml:space="preserve">Network adapters ConnectX-7  ConnectX-7 documented MCX713104AC-ADAT, MCX713104AS-ADAT, MCX713105AS-WEAT, MCX713106AC-CEAT, MCX713106AC-VEAT, MCX713106AS-CEAT, MCX713106AS-VEAT, MCX713114GC-GEAT, MCX713114TC-GEAT, MCX715105AS-WEAT, MCX75310AAC-NEAT, MCX75310AAS-HEAT, MCX75310AAS-NEAT, MCX755106AC-HEAT, MCX755106AS-HEAT, MCX75510AAS-HEAT, MCX75510AAS-NEAT 900-9X721-003N-DT0, 900-9X721-003N-DT1, 900-9X766-003N-SQ0, 900-9X766-003N-SR0, 900-9X766-003N-ST0, 900-9X7AH-0039-ST1, 900-9X7AH-0039-STZ, 900-9X7AH-004N-CT0, 900-9X7AH-004N-GT0, 900-9X7AH-0076-ST0, 900-9X7AH-0078-DTZ, 900-9X7AH-0078-ST0, 900-9X7AH-0079-DTZ, 900-9X7AH-0086-SQ0, 900-9X7AH-0088-ST0, 900-9X7AO-0003-ST0, 900-9X7AO-00C3-STZ up to 400Gb/s IB/Ethernet OSFP / QSFP112 by SKU OSFP up to 400Gb/s IB/Ethernet (ConnectX-7); QSFP112 up to 400Gb/s IB/Ethernet (ConnectX-7)    </t>
        </is>
      </c>
      <c r="Q94" s="9">
        <f>IF(AND(Search!$B$2&lt;&gt;"",ISNUMBER(SEARCH(Search!$B$2,P94))),MAX(Q$1:Q93)+1,"")</f>
        <v/>
      </c>
    </row>
    <row r="95" ht="15" customHeight="1" s="10">
      <c r="A95" s="9" t="inlineStr">
        <is>
          <t>Network adapters</t>
        </is>
      </c>
      <c r="B95" s="9" t="inlineStr">
        <is>
          <t>ConnectX-6</t>
        </is>
      </c>
      <c r="D95" s="9" t="inlineStr">
        <is>
          <t>ConnectX-6</t>
        </is>
      </c>
      <c r="E95" s="9" t="inlineStr">
        <is>
          <t>documented</t>
        </is>
      </c>
      <c r="F95" s="9" t="inlineStr">
        <is>
          <t>—</t>
        </is>
      </c>
      <c r="G95" s="9" t="inlineStr">
        <is>
          <t>—</t>
        </is>
      </c>
      <c r="H95" s="9" t="inlineStr">
        <is>
          <t>up to 200Gb/s IB/Ethernet</t>
        </is>
      </c>
      <c r="I95" s="9" t="inlineStr">
        <is>
          <t>QSFP56 / QSFP28 by SKU</t>
        </is>
      </c>
      <c r="J95" s="9" t="inlineStr">
        <is>
          <t>QSFP56 up to 200Gb/s IB/Ethernet (ConnectX-6); QSFP28 up to 200Gb/s IB/Ethernet (ConnectX-6)</t>
        </is>
      </c>
      <c r="O95" s="14" t="inlineStr">
        <is>
          <t>https://networking-docs.nvidia.com/adapters</t>
        </is>
      </c>
      <c r="P95" s="9" t="inlineStr">
        <is>
          <t xml:space="preserve">Network adapters ConnectX-6  ConnectX-6 documented — — up to 200Gb/s IB/Ethernet QSFP56 / QSFP28 by SKU QSFP56 up to 200Gb/s IB/Ethernet (ConnectX-6); QSFP28 up to 200Gb/s IB/Ethernet (ConnectX-6)    </t>
        </is>
      </c>
      <c r="Q95" s="9">
        <f>IF(AND(Search!$B$2&lt;&gt;"",ISNUMBER(SEARCH(Search!$B$2,P95))),MAX(Q$1:Q94)+1,"")</f>
        <v/>
      </c>
    </row>
    <row r="96" ht="15" customHeight="1" s="10">
      <c r="A96" s="9" t="inlineStr">
        <is>
          <t>Network adapters</t>
        </is>
      </c>
      <c r="B96" s="9" t="inlineStr">
        <is>
          <t>ConnectX-6 Dx</t>
        </is>
      </c>
      <c r="D96" s="9" t="inlineStr">
        <is>
          <t>ConnectX-6 Dx</t>
        </is>
      </c>
      <c r="E96" s="9" t="inlineStr">
        <is>
          <t>documented</t>
        </is>
      </c>
      <c r="F96" s="9" t="inlineStr">
        <is>
          <t>—</t>
        </is>
      </c>
      <c r="G96" s="9" t="inlineStr">
        <is>
          <t>—</t>
        </is>
      </c>
      <c r="H96" s="9" t="inlineStr">
        <is>
          <t>up to 200GbE</t>
        </is>
      </c>
      <c r="I96" s="9" t="inlineStr">
        <is>
          <t>QSFP56 / QSFP28 / SFP56 by SKU</t>
        </is>
      </c>
      <c r="J96" s="9" t="inlineStr">
        <is>
          <t>QSFP56 up to 200GbE (ConnectX-6 Dx); QSFP28 up to 200GbE (ConnectX-6 Dx); SFP56 up to 200GbE (ConnectX-6 Dx)</t>
        </is>
      </c>
      <c r="O96" s="14" t="inlineStr">
        <is>
          <t>https://networking-docs.nvidia.com/adapters</t>
        </is>
      </c>
      <c r="P96" s="9" t="inlineStr">
        <is>
          <t xml:space="preserve">Network adapters ConnectX-6 Dx  ConnectX-6 Dx documented — — up to 200GbE QSFP56 / QSFP28 / SFP56 by SKU QSFP56 up to 200GbE (ConnectX-6 Dx); QSFP28 up to 200GbE (ConnectX-6 Dx); SFP56 up to 200GbE (ConnectX-6 Dx)    </t>
        </is>
      </c>
      <c r="Q96" s="9">
        <f>IF(AND(Search!$B$2&lt;&gt;"",ISNUMBER(SEARCH(Search!$B$2,P96))),MAX(Q$1:Q95)+1,"")</f>
        <v/>
      </c>
    </row>
    <row r="97" ht="15" customHeight="1" s="10">
      <c r="A97" s="9" t="inlineStr">
        <is>
          <t>Network adapters</t>
        </is>
      </c>
      <c r="B97" s="9" t="inlineStr">
        <is>
          <t>ConnectX-6 Lx</t>
        </is>
      </c>
      <c r="D97" s="9" t="inlineStr">
        <is>
          <t>ConnectX-6 Lx</t>
        </is>
      </c>
      <c r="E97" s="9" t="inlineStr">
        <is>
          <t>documented</t>
        </is>
      </c>
      <c r="F97" s="9" t="inlineStr">
        <is>
          <t>—</t>
        </is>
      </c>
      <c r="G97" s="9" t="inlineStr">
        <is>
          <t>—</t>
        </is>
      </c>
      <c r="H97" s="9" t="inlineStr">
        <is>
          <t>up to 50GbE</t>
        </is>
      </c>
      <c r="I97" s="9" t="inlineStr">
        <is>
          <t>SFP56 / SFP28 by SKU</t>
        </is>
      </c>
      <c r="J97" s="9" t="inlineStr">
        <is>
          <t>SFP56 up to 50GbE (ConnectX-6 Lx); SFP28 up to 50GbE (ConnectX-6 Lx)</t>
        </is>
      </c>
      <c r="O97" s="14" t="inlineStr">
        <is>
          <t>https://networking-docs.nvidia.com/adapters</t>
        </is>
      </c>
      <c r="P97" s="9" t="inlineStr">
        <is>
          <t xml:space="preserve">Network adapters ConnectX-6 Lx  ConnectX-6 Lx documented — — up to 50GbE SFP56 / SFP28 by SKU SFP56 up to 50GbE (ConnectX-6 Lx); SFP28 up to 50GbE (ConnectX-6 Lx)    </t>
        </is>
      </c>
      <c r="Q97" s="9">
        <f>IF(AND(Search!$B$2&lt;&gt;"",ISNUMBER(SEARCH(Search!$B$2,P97))),MAX(Q$1:Q96)+1,"")</f>
        <v/>
      </c>
    </row>
    <row r="98" ht="15" customHeight="1" s="10">
      <c r="A98" s="9" t="inlineStr">
        <is>
          <t>UFM appliances</t>
        </is>
      </c>
      <c r="B98" s="9" t="inlineStr">
        <is>
          <t>UFM XDR Appliance</t>
        </is>
      </c>
      <c r="D98" s="9" t="inlineStr">
        <is>
          <t>UFM Enterprise Gen 3.5</t>
        </is>
      </c>
      <c r="E98" s="9" t="inlineStr">
        <is>
          <t>documented</t>
        </is>
      </c>
      <c r="F98" s="9" t="inlineStr">
        <is>
          <t>—</t>
        </is>
      </c>
      <c r="G98" s="9" t="inlineStr">
        <is>
          <t>—</t>
        </is>
      </c>
      <c r="J98" s="9" t="inlineStr">
        <is>
          <t>XDR InfiniBand</t>
        </is>
      </c>
      <c r="N98" s="9" t="inlineStr">
        <is>
          <t>UFM Enterprise Gen 3.5 UFM appliance, XDR InfiniBand</t>
        </is>
      </c>
      <c r="O98" s="14" t="inlineStr">
        <is>
          <t>https://networking-docs.nvidia.com/software/management-software/ufm-appliances</t>
        </is>
      </c>
      <c r="P98" s="9" t="inlineStr">
        <is>
          <t>UFM appliances UFM XDR Appliance  UFM Enterprise Gen 3.5 documented — —   XDR InfiniBand    UFM Enterprise Gen 3.5 UFM appliance, XDR InfiniBand</t>
        </is>
      </c>
      <c r="Q98" s="9">
        <f>IF(AND(Search!$B$2&lt;&gt;"",ISNUMBER(SEARCH(Search!$B$2,P98))),MAX(Q$1:Q97)+1,"")</f>
        <v/>
      </c>
    </row>
    <row r="99" ht="15" customHeight="1" s="10">
      <c r="A99" s="9" t="inlineStr">
        <is>
          <t>UFM appliances</t>
        </is>
      </c>
      <c r="B99" s="9" t="inlineStr">
        <is>
          <t>MUA970D</t>
        </is>
      </c>
      <c r="D99" s="9" t="inlineStr">
        <is>
          <t>UFM XDR-DC Gen 3.5</t>
        </is>
      </c>
      <c r="E99" s="9" t="inlineStr">
        <is>
          <t>active</t>
        </is>
      </c>
      <c r="F99" s="9" t="inlineStr">
        <is>
          <t>MUA9702H-2SFS-DC</t>
        </is>
      </c>
      <c r="G99" s="9" t="inlineStr">
        <is>
          <t>920-9B020-10RI-0D0</t>
        </is>
      </c>
      <c r="J99" s="9" t="inlineStr">
        <is>
          <t>ConnectX-8 400Gb/s InfiniBand</t>
        </is>
      </c>
      <c r="N99" s="9" t="inlineStr">
        <is>
          <t>UFM XDR-DC Gen 3.5 UFM appliance, ConnectX-8 400Gb/s InfiniBand</t>
        </is>
      </c>
      <c r="O99" s="14" t="inlineStr">
        <is>
          <t>https://networking-docs.nvidia.com/ufmenterprisexdrdchw/</t>
        </is>
      </c>
      <c r="P99" s="9" t="inlineStr">
        <is>
          <t>UFM appliances MUA970D  UFM XDR-DC Gen 3.5 active MUA9702H-2SFS-DC 920-9B020-10RI-0D0   ConnectX-8 400Gb/s InfiniBand    UFM XDR-DC Gen 3.5 UFM appliance, ConnectX-8 400Gb/s InfiniBand</t>
        </is>
      </c>
      <c r="Q99" s="9">
        <f>IF(AND(Search!$B$2&lt;&gt;"",ISNUMBER(SEARCH(Search!$B$2,P99))),MAX(Q$1:Q98)+1,"")</f>
        <v/>
      </c>
    </row>
    <row r="100" ht="15" customHeight="1" s="10">
      <c r="A100" s="9" t="inlineStr">
        <is>
          <t>UFM appliances</t>
        </is>
      </c>
      <c r="B100" s="9" t="inlineStr">
        <is>
          <t>MUA9652H-2SF</t>
        </is>
      </c>
      <c r="D100" s="9" t="inlineStr">
        <is>
          <t>UFM Cyber-AI 4.0</t>
        </is>
      </c>
      <c r="E100" s="9" t="inlineStr">
        <is>
          <t>documented</t>
        </is>
      </c>
      <c r="F100" s="9" t="inlineStr">
        <is>
          <t>MUA9652H-2SF</t>
        </is>
      </c>
      <c r="G100" s="9" t="inlineStr">
        <is>
          <t>920-9B020-00FH-0D0</t>
        </is>
      </c>
      <c r="J100" s="9" t="inlineStr">
        <is>
          <t>2x ConnectX-6 HDR 200Gb/s InfiniBand</t>
        </is>
      </c>
      <c r="N100" s="9" t="inlineStr">
        <is>
          <t>UFM Cyber-AI 4.0 UFM appliance, 2x ConnectX-6 HDR 200Gb/s InfiniBand</t>
        </is>
      </c>
      <c r="O100" s="14" t="inlineStr">
        <is>
          <t>https://networking-docs.nvidia.com/ufm40cyberaiapphw</t>
        </is>
      </c>
      <c r="P100" s="9" t="inlineStr">
        <is>
          <t>UFM appliances MUA9652H-2SF  UFM Cyber-AI 4.0 documented MUA9652H-2SF 920-9B020-00FH-0D0   2x ConnectX-6 HDR 200Gb/s InfiniBand    UFM Cyber-AI 4.0 UFM appliance, 2x ConnectX-6 HDR 200Gb/s InfiniBand</t>
        </is>
      </c>
      <c r="Q100" s="9">
        <f>IF(AND(Search!$B$2&lt;&gt;"",ISNUMBER(SEARCH(Search!$B$2,P100))),MAX(Q$1:Q99)+1,"")</f>
        <v/>
      </c>
    </row>
    <row r="101" ht="15" customHeight="1" s="10">
      <c r="A101" s="9" t="inlineStr">
        <is>
          <t>UFM appliances</t>
        </is>
      </c>
      <c r="B101" s="9" t="inlineStr">
        <is>
          <t>MUA960</t>
        </is>
      </c>
      <c r="D101" s="9" t="inlineStr">
        <is>
          <t>UFM Enterprise Gen 3.0 HDR</t>
        </is>
      </c>
      <c r="E101" s="9" t="inlineStr">
        <is>
          <t>documented</t>
        </is>
      </c>
      <c r="F101" s="9" t="inlineStr">
        <is>
          <t>MUA9602H-2SR</t>
        </is>
      </c>
      <c r="G101" s="9" t="inlineStr">
        <is>
          <t>920-9B020-00FA-0D3</t>
        </is>
      </c>
      <c r="J101" s="9" t="inlineStr">
        <is>
          <t>HDR InfiniBand</t>
        </is>
      </c>
      <c r="N101" s="9" t="inlineStr">
        <is>
          <t>UFM Enterprise Gen 3.0 HDR UFM appliance, HDR InfiniBand</t>
        </is>
      </c>
      <c r="O101" s="14" t="inlineStr">
        <is>
          <t>https://networking-docs.nvidia.com/ufmenterprisehdrhwum</t>
        </is>
      </c>
      <c r="P101" s="9" t="inlineStr">
        <is>
          <t>UFM appliances MUA960  UFM Enterprise Gen 3.0 HDR documented MUA9602H-2SR 920-9B020-00FA-0D3   HDR InfiniBand    UFM Enterprise Gen 3.0 HDR UFM appliance, HDR InfiniBand</t>
        </is>
      </c>
      <c r="Q101" s="9">
        <f>IF(AND(Search!$B$2&lt;&gt;"",ISNUMBER(SEARCH(Search!$B$2,P101))),MAX(Q$1:Q100)+1,"")</f>
        <v/>
      </c>
    </row>
    <row r="102" ht="15" customHeight="1" s="10">
      <c r="A102" s="9" t="inlineStr">
        <is>
          <t>UFM appliances</t>
        </is>
      </c>
      <c r="B102" s="9" t="inlineStr">
        <is>
          <t>MUA960B</t>
        </is>
      </c>
      <c r="D102" s="9" t="inlineStr">
        <is>
          <t>UFM Enterprise Gen 3.0 NDR</t>
        </is>
      </c>
      <c r="E102" s="9" t="inlineStr">
        <is>
          <t>documented</t>
        </is>
      </c>
      <c r="F102" s="9" t="inlineStr">
        <is>
          <t>MUA9602H-2SRS</t>
        </is>
      </c>
      <c r="G102" s="9" t="inlineStr">
        <is>
          <t>920-9B020-00RA-0D0</t>
        </is>
      </c>
      <c r="J102" s="9" t="inlineStr">
        <is>
          <t>NDR InfiniBand</t>
        </is>
      </c>
      <c r="N102" s="9" t="inlineStr">
        <is>
          <t>UFM Enterprise Gen 3.0 NDR UFM appliance, NDR InfiniBand</t>
        </is>
      </c>
      <c r="O102" s="14" t="inlineStr">
        <is>
          <t>https://networking-docs.nvidia.com/ufmenterprisendrhwum</t>
        </is>
      </c>
      <c r="P102" s="9" t="inlineStr">
        <is>
          <t>UFM appliances MUA960B  UFM Enterprise Gen 3.0 NDR documented MUA9602H-2SRS 920-9B020-00RA-0D0   NDR InfiniBand    UFM Enterprise Gen 3.0 NDR UFM appliance, NDR InfiniBand</t>
        </is>
      </c>
      <c r="Q102" s="9">
        <f>IF(AND(Search!$B$2&lt;&gt;"",ISNUMBER(SEARCH(Search!$B$2,P102))),MAX(Q$1:Q101)+1,"")</f>
        <v/>
      </c>
    </row>
    <row r="103" ht="15" customHeight="1" s="10">
      <c r="A103" s="9" t="inlineStr">
        <is>
          <t>UFM appliances</t>
        </is>
      </c>
      <c r="B103" s="9" t="inlineStr">
        <is>
          <t>MUA950</t>
        </is>
      </c>
      <c r="D103" s="9" t="inlineStr">
        <is>
          <t>UFM-SDN 2.5</t>
        </is>
      </c>
      <c r="E103" s="9" t="inlineStr">
        <is>
          <t>documented</t>
        </is>
      </c>
      <c r="F103" s="9" t="inlineStr">
        <is>
          <t>MUA9502H-2SF / MUA9502H-2SF-40K</t>
        </is>
      </c>
      <c r="G103" s="9" t="inlineStr">
        <is>
          <t>920-9B020-00FA-0D5, 920-9B020-09FA-0D0</t>
        </is>
      </c>
      <c r="J103" s="9" t="inlineStr">
        <is>
          <t>InfiniBand</t>
        </is>
      </c>
      <c r="N103" s="9" t="inlineStr">
        <is>
          <t>UFM-SDN 2.5 UFM appliance, InfiniBand</t>
        </is>
      </c>
      <c r="O103" s="14" t="inlineStr">
        <is>
          <t>https://networking-docs.nvidia.com/ufmsdn25apphw</t>
        </is>
      </c>
      <c r="P103" s="9" t="inlineStr">
        <is>
          <t>UFM appliances MUA950  UFM-SDN 2.5 documented MUA9502H-2SF / MUA9502H-2SF-40K 920-9B020-00FA-0D5, 920-9B020-09FA-0D0   InfiniBand    UFM-SDN 2.5 UFM appliance, InfiniBand</t>
        </is>
      </c>
      <c r="Q103" s="9">
        <f>IF(AND(Search!$B$2&lt;&gt;"",ISNUMBER(SEARCH(Search!$B$2,P103))),MAX(Q$1:Q102)+1,"")</f>
        <v/>
      </c>
    </row>
    <row r="104" ht="15" customHeight="1" s="10">
      <c r="A104" s="9" t="inlineStr">
        <is>
          <t>UFM appliances</t>
        </is>
      </c>
      <c r="B104" s="9" t="inlineStr">
        <is>
          <t>MUA975</t>
        </is>
      </c>
      <c r="D104" s="9" t="inlineStr">
        <is>
          <t>UFM Cyber-AI Gen 4.5</t>
        </is>
      </c>
      <c r="E104" s="9" t="inlineStr">
        <is>
          <t>documented</t>
        </is>
      </c>
      <c r="F104" s="9" t="inlineStr">
        <is>
          <t>MUA9752H-2SFS-AC</t>
        </is>
      </c>
      <c r="G104" s="9" t="inlineStr">
        <is>
          <t>920-9B020-00RI-0D5</t>
        </is>
      </c>
      <c r="J104" s="9" t="inlineStr">
        <is>
          <t>2x ConnectX-8 single-port 400Gb/s InfiniBand</t>
        </is>
      </c>
      <c r="N104" s="9" t="inlineStr">
        <is>
          <t>UFM Cyber-AI Gen 4.5 UFM appliance, 2x ConnectX-8 single-port 400Gb/s InfiniBand</t>
        </is>
      </c>
      <c r="O104" s="14" t="inlineStr">
        <is>
          <t>https://networking-docs.nvidia.com/ufm45cyberaiapphw</t>
        </is>
      </c>
      <c r="P104" s="9" t="inlineStr">
        <is>
          <t>UFM appliances MUA975  UFM Cyber-AI Gen 4.5 documented MUA9752H-2SFS-AC 920-9B020-00RI-0D5   2x ConnectX-8 single-port 400Gb/s InfiniBand    UFM Cyber-AI Gen 4.5 UFM appliance, 2x ConnectX-8 single-port 400Gb/s InfiniBand</t>
        </is>
      </c>
      <c r="Q104" s="9">
        <f>IF(AND(Search!$B$2&lt;&gt;"",ISNUMBER(SEARCH(Search!$B$2,P104))),MAX(Q$1:Q103)+1,"")</f>
        <v/>
      </c>
    </row>
    <row r="105" ht="15" customHeight="1" s="10">
      <c r="A105" s="9" t="inlineStr">
        <is>
          <t>Legacy network adapters</t>
        </is>
      </c>
      <c r="B105" s="9" t="inlineStr">
        <is>
          <t>MCX516A-CCAT</t>
        </is>
      </c>
      <c r="D105" s="9" t="inlineStr">
        <is>
          <t>ConnectX-5</t>
        </is>
      </c>
      <c r="E105" s="9" t="inlineStr">
        <is>
          <t>legacy</t>
        </is>
      </c>
      <c r="H105" s="9" t="inlineStr">
        <is>
          <t>up to 100GbE per port / EDR InfiniBand</t>
        </is>
      </c>
      <c r="I105" s="9" t="inlineStr">
        <is>
          <t>dual QSFP28</t>
        </is>
      </c>
      <c r="O105" s="14" t="inlineStr">
        <is>
          <t>https://networking-docs.nvidia.com/connectx5en</t>
        </is>
      </c>
      <c r="P105" s="9" t="inlineStr">
        <is>
          <t xml:space="preserve">Legacy network adapters MCX516A-CCAT  ConnectX-5 legacy   up to 100GbE per port / EDR InfiniBand dual QSFP28     </t>
        </is>
      </c>
      <c r="Q105" s="9">
        <f>IF(AND(Search!$B$2&lt;&gt;"",ISNUMBER(SEARCH(Search!$B$2,P105))),MAX(Q$1:Q104)+1,"")</f>
        <v/>
      </c>
    </row>
    <row r="106" ht="15" customHeight="1" s="10">
      <c r="A106" s="9" t="inlineStr">
        <is>
          <t>Legacy network adapters</t>
        </is>
      </c>
      <c r="B106" s="9" t="inlineStr">
        <is>
          <t>MCX455A-ECAT</t>
        </is>
      </c>
      <c r="D106" s="9" t="inlineStr">
        <is>
          <t>ConnectX-4</t>
        </is>
      </c>
      <c r="E106" s="9" t="inlineStr">
        <is>
          <t>legacy</t>
        </is>
      </c>
      <c r="H106" s="9" t="inlineStr">
        <is>
          <t>100GbE / EDR InfiniBand class</t>
        </is>
      </c>
      <c r="I106" s="9" t="inlineStr">
        <is>
          <t>QSFP28</t>
        </is>
      </c>
      <c r="O106" s="14" t="inlineStr">
        <is>
          <t>https://networking-docs.nvidia.com/connectx4</t>
        </is>
      </c>
      <c r="P106" s="9" t="inlineStr">
        <is>
          <t xml:space="preserve">Legacy network adapters MCX455A-ECAT  ConnectX-4 legacy   100GbE / EDR InfiniBand class QSFP28     </t>
        </is>
      </c>
      <c r="Q106" s="9">
        <f>IF(AND(Search!$B$2&lt;&gt;"",ISNUMBER(SEARCH(Search!$B$2,P106))),MAX(Q$1:Q105)+1,"")</f>
        <v/>
      </c>
    </row>
    <row r="107" ht="15" customHeight="1" s="10">
      <c r="A107" s="9" t="inlineStr">
        <is>
          <t>Legacy network adapters</t>
        </is>
      </c>
      <c r="B107" s="9" t="inlineStr">
        <is>
          <t>MCX4121A-ACAT</t>
        </is>
      </c>
      <c r="D107" s="9" t="inlineStr">
        <is>
          <t>ConnectX-4 Lx</t>
        </is>
      </c>
      <c r="E107" s="9" t="inlineStr">
        <is>
          <t>legacy</t>
        </is>
      </c>
      <c r="H107" s="9" t="inlineStr">
        <is>
          <t>up to 25GbE per port</t>
        </is>
      </c>
      <c r="I107" s="9" t="inlineStr">
        <is>
          <t>dual SFP28</t>
        </is>
      </c>
      <c r="O107" s="14" t="inlineStr">
        <is>
          <t>https://networking-docs.nvidia.com/connectx4lx</t>
        </is>
      </c>
      <c r="P107" s="9" t="inlineStr">
        <is>
          <t xml:space="preserve">Legacy network adapters MCX4121A-ACAT  ConnectX-4 Lx legacy   up to 25GbE per port dual SFP28     </t>
        </is>
      </c>
      <c r="Q107" s="9">
        <f>IF(AND(Search!$B$2&lt;&gt;"",ISNUMBER(SEARCH(Search!$B$2,P107))),MAX(Q$1:Q106)+1,"")</f>
        <v/>
      </c>
    </row>
    <row r="1048575" ht="12.75" customHeight="1" s="10"/>
    <row r="1048576" ht="12.75" customHeight="1" s="10"/>
  </sheetData>
  <autoFilter ref="A1:O107"/>
  <hyperlinks>
    <hyperlink xmlns:r="http://schemas.openxmlformats.org/officeDocument/2006/relationships" ref="O2" display="https://networking-docs.nvidia.com/mms4b10xmtro1600g" r:id="rId1"/>
    <hyperlink xmlns:r="http://schemas.openxmlformats.org/officeDocument/2006/relationships" ref="O3" display="https://networking-docs.nvidia.com/mms4b10xmtro1600g" r:id="rId2"/>
    <hyperlink xmlns:r="http://schemas.openxmlformats.org/officeDocument/2006/relationships" ref="O4" display="https://networking-docs.nvidia.com/9iau000xmosfptcvr1600" r:id="rId3"/>
    <hyperlink xmlns:r="http://schemas.openxmlformats.org/officeDocument/2006/relationships" ref="O5" display="https://networking-docs.nvidia.com/9iau000xmosfptcvr1600" r:id="rId4"/>
    <hyperlink xmlns:r="http://schemas.openxmlformats.org/officeDocument/2006/relationships" ref="O6" display="https://networking-docs.nvidia.com/9iau000xmosfptcvr1600" r:id="rId5"/>
    <hyperlink xmlns:r="http://schemas.openxmlformats.org/officeDocument/2006/relationships" ref="O7" display="https://networking-docs.nvidia.com/9iau000xmosfptcvr1600" r:id="rId6"/>
    <hyperlink xmlns:r="http://schemas.openxmlformats.org/officeDocument/2006/relationships" ref="O8" display="https://networking-docs.nvidia.com/9iahx00xmosfptcvr1600" r:id="rId7"/>
    <hyperlink xmlns:r="http://schemas.openxmlformats.org/officeDocument/2006/relationships" ref="O9" display="https://networking-docs.nvidia.com/9iahx00xmosfptcvr1600" r:id="rId8"/>
    <hyperlink xmlns:r="http://schemas.openxmlformats.org/officeDocument/2006/relationships" ref="O10" display="https://networking-docs.nvidia.com/mms4a501600gosfp" r:id="rId9"/>
    <hyperlink xmlns:r="http://schemas.openxmlformats.org/officeDocument/2006/relationships" ref="O11" display="https://networking-docs.nvidia.com/mms4a501600gosfp" r:id="rId10"/>
    <hyperlink xmlns:r="http://schemas.openxmlformats.org/officeDocument/2006/relationships" ref="O12" display="https://networking-docs.nvidia.com/mms1z00ns400sr4" r:id="rId11"/>
    <hyperlink xmlns:r="http://schemas.openxmlformats.org/officeDocument/2006/relationships" ref="O13" display="https://networking-docs.nvidia.com/mms1v00wm10" r:id="rId12"/>
    <hyperlink xmlns:r="http://schemas.openxmlformats.org/officeDocument/2006/relationships" ref="O14" display="https://networking-docs.nvidia.com/mms4x00ns400" r:id="rId13"/>
    <hyperlink xmlns:r="http://schemas.openxmlformats.org/officeDocument/2006/relationships" ref="O15" display="https://networking-docs.nvidia.com/mma4z00ns400" r:id="rId14"/>
    <hyperlink xmlns:r="http://schemas.openxmlformats.org/officeDocument/2006/relationships" ref="O16" display="https://networking-docs.nvidia.com/mma4z00ns400t" r:id="rId15"/>
    <hyperlink xmlns:r="http://schemas.openxmlformats.org/officeDocument/2006/relationships" ref="O17" display="https://networking-docs.nvidia.com/mma1z00ns400t" r:id="rId16"/>
    <hyperlink xmlns:r="http://schemas.openxmlformats.org/officeDocument/2006/relationships" ref="O18" display="https://networking-docs.nvidia.com/mms1x00ns400" r:id="rId17"/>
    <hyperlink xmlns:r="http://schemas.openxmlformats.org/officeDocument/2006/relationships" ref="O19" display="https://networking-docs.nvidia.com/mms1v70cm10" r:id="rId18"/>
    <hyperlink xmlns:r="http://schemas.openxmlformats.org/officeDocument/2006/relationships" ref="O20" display="https://networking-docs.nvidia.com/mma1b00c100dspec" r:id="rId19"/>
    <hyperlink xmlns:r="http://schemas.openxmlformats.org/officeDocument/2006/relationships" ref="O21" display="https://networking-docs.nvidia.com/mms4c1x800" r:id="rId20"/>
    <hyperlink xmlns:r="http://schemas.openxmlformats.org/officeDocument/2006/relationships" ref="O22" display="https://networking-docs.nvidia.com/mms4x00nmt800g" r:id="rId21"/>
    <hyperlink xmlns:r="http://schemas.openxmlformats.org/officeDocument/2006/relationships" ref="O23" display="https://networking-docs.nvidia.com/mms4x00nm800g500m" r:id="rId22"/>
    <hyperlink xmlns:r="http://schemas.openxmlformats.org/officeDocument/2006/relationships" ref="O24" display="https://networking-docs.nvidia.com/mms4x00nm800g500m" r:id="rId23"/>
    <hyperlink xmlns:r="http://schemas.openxmlformats.org/officeDocument/2006/relationships" ref="O25" display="https://networking-docs.nvidia.com/mms4x50nm800g2kmpub" r:id="rId24"/>
    <hyperlink xmlns:r="http://schemas.openxmlformats.org/officeDocument/2006/relationships" ref="O26" display="https://networking-docs.nvidia.com/800gmms4x00ns" r:id="rId25"/>
    <hyperlink xmlns:r="http://schemas.openxmlformats.org/officeDocument/2006/relationships" ref="O27" display="https://networking-docs.nvidia.com/800gmms4x00ns" r:id="rId26"/>
    <hyperlink xmlns:r="http://schemas.openxmlformats.org/officeDocument/2006/relationships" ref="O28" display="https://networking-docs.nvidia.com/800gmma4z00nst" r:id="rId27"/>
    <hyperlink xmlns:r="http://schemas.openxmlformats.org/officeDocument/2006/relationships" ref="O29" display="https://networking-docs.nvidia.com/800gmms4x00nst" r:id="rId28"/>
    <hyperlink xmlns:r="http://schemas.openxmlformats.org/officeDocument/2006/relationships" ref="O30" display="https://networking-docs.nvidia.com/9iat0mosfp800sprhs" r:id="rId29"/>
    <hyperlink xmlns:r="http://schemas.openxmlformats.org/officeDocument/2006/relationships" ref="O31" display="https://networking-docs.nvidia.com/mms4x00nm16" r:id="rId30"/>
    <hyperlink xmlns:r="http://schemas.openxmlformats.org/officeDocument/2006/relationships" ref="O32" display="https://networking-docs.nvidia.com/mms4x00nmhgx500" r:id="rId31"/>
    <hyperlink xmlns:r="http://schemas.openxmlformats.org/officeDocument/2006/relationships" ref="O33" display="https://networking-docs.nvidia.com/mms4x90nr800g" r:id="rId32"/>
    <hyperlink xmlns:r="http://schemas.openxmlformats.org/officeDocument/2006/relationships" ref="O34" display="https://networking-docs.nvidia.com/mms1w50hmspec" r:id="rId33"/>
    <hyperlink xmlns:r="http://schemas.openxmlformats.org/officeDocument/2006/relationships" ref="O35" display="https://networking-docs.nvidia.com/mma2p00asspec" r:id="rId34"/>
    <hyperlink xmlns:r="http://schemas.openxmlformats.org/officeDocument/2006/relationships" ref="O36" display="https://networking-docs.nvidia.com/mfa7u10h00x10" r:id="rId35"/>
    <hyperlink xmlns:r="http://schemas.openxmlformats.org/officeDocument/2006/relationships" ref="O37" display="https://networking-docs.nvidia.com/mfa7u10h00x10" r:id="rId36"/>
    <hyperlink xmlns:r="http://schemas.openxmlformats.org/officeDocument/2006/relationships" ref="O38" display="https://networking-docs.nvidia.com/mfs1s00hxxxv10" r:id="rId37"/>
    <hyperlink xmlns:r="http://schemas.openxmlformats.org/officeDocument/2006/relationships" ref="O39" display="https://networking-docs.nvidia.com/mca4k00hw" r:id="rId38"/>
    <hyperlink xmlns:r="http://schemas.openxmlformats.org/officeDocument/2006/relationships" ref="O40" display="https://networking-docs.nvidia.com/mca4k50osfp1600" r:id="rId39"/>
    <hyperlink xmlns:r="http://schemas.openxmlformats.org/officeDocument/2006/relationships" ref="O41" display="https://networking-docs.nvidia.com/9809iao500xxxxrhs2x800" r:id="rId40"/>
    <hyperlink xmlns:r="http://schemas.openxmlformats.org/officeDocument/2006/relationships" ref="O42" display="https://networking-docs.nvidia.com/mca4j80nxxx800pub" r:id="rId41"/>
    <hyperlink xmlns:r="http://schemas.openxmlformats.org/officeDocument/2006/relationships" ref="O43" display="https://networking-docs.nvidia.com/mca4j80nxxx800pub" r:id="rId42"/>
    <hyperlink xmlns:r="http://schemas.openxmlformats.org/officeDocument/2006/relationships" ref="O44" display="https://networking-docs.nvidia.com/mca4j80nxxx800pub" r:id="rId43"/>
    <hyperlink xmlns:r="http://schemas.openxmlformats.org/officeDocument/2006/relationships" ref="O45" display="https://networking-docs.nvidia.com/mcp4y10nxxx2x400pub" r:id="rId44"/>
    <hyperlink xmlns:r="http://schemas.openxmlformats.org/officeDocument/2006/relationships" ref="O46" display="https://networking-docs.nvidia.com/mcp4y10nxxx2x400pub" r:id="rId45"/>
    <hyperlink xmlns:r="http://schemas.openxmlformats.org/officeDocument/2006/relationships" ref="O47" display="https://networking-docs.nvidia.com/mcp7y00nxxx800pub" r:id="rId46"/>
    <hyperlink xmlns:r="http://schemas.openxmlformats.org/officeDocument/2006/relationships" ref="O48" display="https://networking-docs.nvidia.com/mcp7y00nxxx800pub" r:id="rId47"/>
    <hyperlink xmlns:r="http://schemas.openxmlformats.org/officeDocument/2006/relationships" ref="O49" display="https://networking-docs.nvidia.com/mcp1600e0xxxeyyspec" r:id="rId48"/>
    <hyperlink xmlns:r="http://schemas.openxmlformats.org/officeDocument/2006/relationships" ref="O50" display="https://networking-docs.nvidia.com/9iau000xmosfptcvr1600" r:id="rId49"/>
    <hyperlink xmlns:r="http://schemas.openxmlformats.org/officeDocument/2006/relationships" ref="O51" display="https://networking-docs.nvidia.com/mam1q00aqsadnmx" r:id="rId50"/>
    <hyperlink xmlns:r="http://schemas.openxmlformats.org/officeDocument/2006/relationships" ref="O52" display="https://networking-docs.nvidia.com/mam1q00aqsa28dnmx" r:id="rId51"/>
    <hyperlink xmlns:r="http://schemas.openxmlformats.org/officeDocument/2006/relationships" ref="O53" display="https://networking-docs.nvidia.com/mfp7e10nxxx" r:id="rId52"/>
    <hyperlink xmlns:r="http://schemas.openxmlformats.org/officeDocument/2006/relationships" ref="O54" display="https://networking-docs.nvidia.com/mfp7e20nxxx" r:id="rId53"/>
    <hyperlink xmlns:r="http://schemas.openxmlformats.org/officeDocument/2006/relationships" ref="O55" display="https://networking-docs.nvidia.com/mfp7e30nxxxpub" r:id="rId54"/>
    <hyperlink xmlns:r="http://schemas.openxmlformats.org/officeDocument/2006/relationships" ref="O56" display="https://networking-docs.nvidia.com/mfp7e40nxxxpub" r:id="rId55"/>
    <hyperlink xmlns:r="http://schemas.openxmlformats.org/officeDocument/2006/relationships" ref="O57" display="https://networking-docs.nvidia.com/sn6000hw" r:id="rId56"/>
    <hyperlink xmlns:r="http://schemas.openxmlformats.org/officeDocument/2006/relationships" ref="O58" display="https://networking-docs.nvidia.com/sn6000hw" r:id="rId57"/>
    <hyperlink xmlns:r="http://schemas.openxmlformats.org/officeDocument/2006/relationships" ref="O59" display="https://networking-docs.nvidia.com/sn6000hw" r:id="rId58"/>
    <hyperlink xmlns:r="http://schemas.openxmlformats.org/officeDocument/2006/relationships" ref="O60" display="https://networking-docs.nvidia.com/sn6000hw" r:id="rId59"/>
    <hyperlink xmlns:r="http://schemas.openxmlformats.org/officeDocument/2006/relationships" ref="O61" display="https://networking-docs.nvidia.com/sn5000hw" r:id="rId60"/>
    <hyperlink xmlns:r="http://schemas.openxmlformats.org/officeDocument/2006/relationships" ref="O62" display="https://networking-docs.nvidia.com/sn5000hw" r:id="rId61"/>
    <hyperlink xmlns:r="http://schemas.openxmlformats.org/officeDocument/2006/relationships" ref="O63" display="https://networking-docs.nvidia.com/sn5000hw" r:id="rId62"/>
    <hyperlink xmlns:r="http://schemas.openxmlformats.org/officeDocument/2006/relationships" ref="O64" display="https://networking-docs.nvidia.com/sn5000hw" r:id="rId63"/>
    <hyperlink xmlns:r="http://schemas.openxmlformats.org/officeDocument/2006/relationships" ref="O65" display="https://networking-docs.nvidia.com/sn4000hw" r:id="rId64"/>
    <hyperlink xmlns:r="http://schemas.openxmlformats.org/officeDocument/2006/relationships" ref="O66" display="https://networking-docs.nvidia.com/sn4000hw" r:id="rId65"/>
    <hyperlink xmlns:r="http://schemas.openxmlformats.org/officeDocument/2006/relationships" ref="O67" display="https://networking-docs.nvidia.com/sn3000hw" r:id="rId66"/>
    <hyperlink xmlns:r="http://schemas.openxmlformats.org/officeDocument/2006/relationships" ref="O68" display="https://networking-docs.nvidia.com/sn2201hw" r:id="rId67"/>
    <hyperlink xmlns:r="http://schemas.openxmlformats.org/officeDocument/2006/relationships" ref="O69" display="https://networking-docs.nvidia.com/sn4000hw" r:id="rId68"/>
    <hyperlink xmlns:r="http://schemas.openxmlformats.org/officeDocument/2006/relationships" ref="O70" display="https://networking-docs.nvidia.com/sn4000hw" r:id="rId69"/>
    <hyperlink xmlns:r="http://schemas.openxmlformats.org/officeDocument/2006/relationships" ref="O71" location="nvidiatab-hw-documentation" display="https://networking-docs.nvidia.com/switches#nvidiatab-hw-documentation" r:id="rId70"/>
    <hyperlink xmlns:r="http://schemas.openxmlformats.org/officeDocument/2006/relationships" ref="O72" location="nvidiatab-hw-documentation" display="https://networking-docs.nvidia.com/switches#nvidiatab-hw-documentation" r:id="rId71"/>
    <hyperlink xmlns:r="http://schemas.openxmlformats.org/officeDocument/2006/relationships" ref="O73" location="nvidiatab-hw-documentation" display="https://networking-docs.nvidia.com/switches#nvidiatab-hw-documentation" r:id="rId72"/>
    <hyperlink xmlns:r="http://schemas.openxmlformats.org/officeDocument/2006/relationships" ref="O74" location="nvidiatab-hw-documentation" display="https://networking-docs.nvidia.com/switches#nvidiatab-hw-documentation" r:id="rId73"/>
    <hyperlink xmlns:r="http://schemas.openxmlformats.org/officeDocument/2006/relationships" ref="O75" location="nvidiatab-hw-documentation" display="https://networking-docs.nvidia.com/switches#nvidiatab-hw-documentation" r:id="rId74"/>
    <hyperlink xmlns:r="http://schemas.openxmlformats.org/officeDocument/2006/relationships" ref="O76" display="https://networking-docs.nvidia.com/skyway" r:id="rId75"/>
    <hyperlink xmlns:r="http://schemas.openxmlformats.org/officeDocument/2006/relationships" ref="O77" display="https://networking-docs.nvidia.com/metrox3xc" r:id="rId76"/>
    <hyperlink xmlns:r="http://schemas.openxmlformats.org/officeDocument/2006/relationships" ref="O78" location="nvidiatab-hw-documentation" display="https://networking-docs.nvidia.com/switches#nvidiatab-hw-documentation" r:id="rId77"/>
    <hyperlink xmlns:r="http://schemas.openxmlformats.org/officeDocument/2006/relationships" ref="O79" location="nvidiatab-hw-documentation" display="https://networking-docs.nvidia.com/switches#nvidiatab-hw-documentation" r:id="rId78"/>
    <hyperlink xmlns:r="http://schemas.openxmlformats.org/officeDocument/2006/relationships" ref="O80" location="nvidiatab-hw-documentation" display="https://networking-docs.nvidia.com/switches#nvidiatab-hw-documentation" r:id="rId79"/>
    <hyperlink xmlns:r="http://schemas.openxmlformats.org/officeDocument/2006/relationships" ref="O81" display="https://networking-docs.nvidia.com/skyway3hw" r:id="rId80"/>
    <hyperlink xmlns:r="http://schemas.openxmlformats.org/officeDocument/2006/relationships" ref="O82" display="https://networking-docs.nvidia.com/xdrswitcheshw" r:id="rId81"/>
    <hyperlink xmlns:r="http://schemas.openxmlformats.org/officeDocument/2006/relationships" ref="O83" display="https://www.nvidia.com/en-us/networking/products/silicon-photonics/" r:id="rId82"/>
    <hyperlink xmlns:r="http://schemas.openxmlformats.org/officeDocument/2006/relationships" ref="O84" display="https://www.nvidia.com/en-eu/data-center/dgx-rubin-nvl8/" r:id="rId83"/>
    <hyperlink xmlns:r="http://schemas.openxmlformats.org/officeDocument/2006/relationships" ref="O85" display="https://www.nvidia.com/en-us/networking/products/data-processing-unit/" r:id="rId84"/>
    <hyperlink xmlns:r="http://schemas.openxmlformats.org/officeDocument/2006/relationships" ref="O86" display="https://networking-docs.nvidia.com/bf3dpu" r:id="rId85"/>
    <hyperlink xmlns:r="http://schemas.openxmlformats.org/officeDocument/2006/relationships" ref="O87" display="https://networking-docs.nvidia.com/connectx9hw" r:id="rId86"/>
    <hyperlink xmlns:r="http://schemas.openxmlformats.org/officeDocument/2006/relationships" ref="O88" display="https://networking-docs.nvidia.com/connectx8hw" r:id="rId87"/>
    <hyperlink xmlns:r="http://schemas.openxmlformats.org/officeDocument/2006/relationships" ref="O89" display="https://networking-docs.nvidia.com/bf3dpu" r:id="rId88"/>
    <hyperlink xmlns:r="http://schemas.openxmlformats.org/officeDocument/2006/relationships" ref="O90" display="https://networking-docs.nvidia.com/connectx9hw" r:id="rId89"/>
    <hyperlink xmlns:r="http://schemas.openxmlformats.org/officeDocument/2006/relationships" ref="O91" display="https://networking-docs.nvidia.com/connectx9hw" r:id="rId90"/>
    <hyperlink xmlns:r="http://schemas.openxmlformats.org/officeDocument/2006/relationships" ref="O92" display="https://networking-docs.nvidia.com/connectx8hw" r:id="rId91"/>
    <hyperlink xmlns:r="http://schemas.openxmlformats.org/officeDocument/2006/relationships" ref="O93" display="https://networking-docs.nvidia.com/connectx8hw" r:id="rId92"/>
    <hyperlink xmlns:r="http://schemas.openxmlformats.org/officeDocument/2006/relationships" ref="O94" display="https://networking-docs.nvidia.com/connectx7hw" r:id="rId93"/>
    <hyperlink xmlns:r="http://schemas.openxmlformats.org/officeDocument/2006/relationships" ref="O95" display="https://networking-docs.nvidia.com/adapters" r:id="rId94"/>
    <hyperlink xmlns:r="http://schemas.openxmlformats.org/officeDocument/2006/relationships" ref="O96" display="https://networking-docs.nvidia.com/adapters" r:id="rId95"/>
    <hyperlink xmlns:r="http://schemas.openxmlformats.org/officeDocument/2006/relationships" ref="O97" display="https://networking-docs.nvidia.com/adapters" r:id="rId96"/>
    <hyperlink xmlns:r="http://schemas.openxmlformats.org/officeDocument/2006/relationships" ref="O98" display="https://networking-docs.nvidia.com/software/management-software/ufm-appliances" r:id="rId97"/>
    <hyperlink xmlns:r="http://schemas.openxmlformats.org/officeDocument/2006/relationships" ref="O99" display="https://networking-docs.nvidia.com/ufmenterprisexdrdchw/" r:id="rId98"/>
    <hyperlink xmlns:r="http://schemas.openxmlformats.org/officeDocument/2006/relationships" ref="O100" display="https://networking-docs.nvidia.com/ufm40cyberaiapphw" r:id="rId99"/>
    <hyperlink xmlns:r="http://schemas.openxmlformats.org/officeDocument/2006/relationships" ref="O101" display="https://networking-docs.nvidia.com/ufmenterprisehdrhwum" r:id="rId100"/>
    <hyperlink xmlns:r="http://schemas.openxmlformats.org/officeDocument/2006/relationships" ref="O102" display="https://networking-docs.nvidia.com/ufmenterprisendrhwum" r:id="rId101"/>
    <hyperlink xmlns:r="http://schemas.openxmlformats.org/officeDocument/2006/relationships" ref="O103" display="https://networking-docs.nvidia.com/ufmsdn25apphw" r:id="rId102"/>
    <hyperlink xmlns:r="http://schemas.openxmlformats.org/officeDocument/2006/relationships" ref="O104" display="https://networking-docs.nvidia.com/ufm45cyberaiapphw" r:id="rId103"/>
    <hyperlink xmlns:r="http://schemas.openxmlformats.org/officeDocument/2006/relationships" ref="O105" display="https://networking-docs.nvidia.com/connectx5en" r:id="rId104"/>
    <hyperlink xmlns:r="http://schemas.openxmlformats.org/officeDocument/2006/relationships" ref="O106" display="https://networking-docs.nvidia.com/connectx4" r:id="rId105"/>
    <hyperlink xmlns:r="http://schemas.openxmlformats.org/officeDocument/2006/relationships" ref="O107" display="https://networking-docs.nvidia.com/connectx4lx" r:id="rId10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9" min="1" max="1"/>
    <col width="40" customWidth="1" style="9" min="2" max="2"/>
    <col width="25" customWidth="1" style="9" min="3" max="3"/>
    <col width="36" customWidth="1" style="9" min="4" max="4"/>
    <col width="13" customWidth="1" style="9" min="5" max="5"/>
    <col width="55" customWidth="1" style="9" min="6" max="7"/>
    <col width="40" customWidth="1" style="9" min="8" max="8"/>
    <col width="32" customWidth="1" style="9" min="9" max="9"/>
    <col width="55" customWidth="1" style="9" min="10" max="10"/>
    <col width="10" customWidth="1" style="9" min="11" max="11"/>
    <col width="41" customWidth="1" style="9" min="12" max="12"/>
    <col width="12" customWidth="1" style="9" min="13" max="13"/>
    <col width="55" customWidth="1" style="9" min="14" max="15"/>
  </cols>
  <sheetData>
    <row r="1" ht="17.25" customHeight="1" s="10">
      <c r="A1" s="11" t="inlineStr">
        <is>
          <t>Search products</t>
        </is>
      </c>
    </row>
    <row r="2" ht="15" customHeight="1" s="10">
      <c r="A2" s="15" t="inlineStr">
        <is>
          <t>Search text:</t>
        </is>
      </c>
      <c r="B2" s="16" t="n"/>
      <c r="C2" s="9" t="inlineStr">
        <is>
          <t>Type a model, OPN, speed, connector, fabric (IB/ETH/NVL) or any word; matching is case-insensitive.</t>
        </is>
      </c>
    </row>
    <row r="3" ht="15" customHeight="1" s="10">
      <c r="A3" s="15" t="inlineStr">
        <is>
          <t>Matches:</t>
        </is>
      </c>
      <c r="B3" s="9">
        <f>MAX('All products'!$Q:$Q)</f>
        <v/>
      </c>
      <c r="C3" s="9">
        <f>IF(B3&gt;200,"Showing first 200 matches only","")</f>
        <v/>
      </c>
    </row>
    <row r="5" ht="15" customHeight="1" s="10">
      <c r="A5" s="17" t="inlineStr">
        <is>
          <t>Section</t>
        </is>
      </c>
      <c r="B5" s="17" t="inlineStr">
        <is>
          <t>Model</t>
        </is>
      </c>
      <c r="C5" s="17" t="inlineStr">
        <is>
          <t>Variant</t>
        </is>
      </c>
      <c r="D5" s="17" t="inlineStr">
        <is>
          <t>Family</t>
        </is>
      </c>
      <c r="E5" s="17" t="inlineStr">
        <is>
          <t>Status</t>
        </is>
      </c>
      <c r="F5" s="17" t="inlineStr">
        <is>
          <t>Legacy OPN</t>
        </is>
      </c>
      <c r="G5" s="17" t="inlineStr">
        <is>
          <t>NVIDIA OPN</t>
        </is>
      </c>
      <c r="H5" s="17" t="inlineStr">
        <is>
          <t>Speed</t>
        </is>
      </c>
      <c r="I5" s="17" t="inlineStr">
        <is>
          <t>Form factor</t>
        </is>
      </c>
      <c r="J5" s="17" t="inlineStr">
        <is>
          <t>Interfaces</t>
        </is>
      </c>
      <c r="K5" s="17" t="inlineStr">
        <is>
          <t>Medium</t>
        </is>
      </c>
      <c r="L5" s="17" t="inlineStr">
        <is>
          <t>Reach</t>
        </is>
      </c>
      <c r="M5" s="17" t="inlineStr">
        <is>
          <t>Fabric</t>
        </is>
      </c>
      <c r="N5" s="17" t="inlineStr">
        <is>
          <t>Description</t>
        </is>
      </c>
      <c r="O5" s="17" t="inlineStr">
        <is>
          <t>Link</t>
        </is>
      </c>
    </row>
    <row r="6" ht="15" customHeight="1" s="10">
      <c r="A6" s="9">
        <f>IFERROR(INDEX('All products'!$A$2:$A$107,MATCH(1,'All products'!$Q$2:$Q$107,0))&amp;"","")</f>
        <v/>
      </c>
      <c r="B6" s="9">
        <f>IFERROR(INDEX('All products'!$B$2:$B$107,MATCH(1,'All products'!$Q$2:$Q$107,0))&amp;"","")</f>
        <v/>
      </c>
      <c r="C6" s="9">
        <f>IFERROR(INDEX('All products'!$C$2:$C$107,MATCH(1,'All products'!$Q$2:$Q$107,0))&amp;"","")</f>
        <v/>
      </c>
      <c r="D6" s="9">
        <f>IFERROR(INDEX('All products'!$D$2:$D$107,MATCH(1,'All products'!$Q$2:$Q$107,0))&amp;"","")</f>
        <v/>
      </c>
      <c r="E6" s="9">
        <f>IFERROR(INDEX('All products'!$E$2:$E$107,MATCH(1,'All products'!$Q$2:$Q$107,0))&amp;"","")</f>
        <v/>
      </c>
      <c r="F6" s="9">
        <f>IFERROR(INDEX('All products'!$F$2:$F$107,MATCH(1,'All products'!$Q$2:$Q$107,0))&amp;"","")</f>
        <v/>
      </c>
      <c r="G6" s="9">
        <f>IFERROR(INDEX('All products'!$G$2:$G$107,MATCH(1,'All products'!$Q$2:$Q$107,0))&amp;"","")</f>
        <v/>
      </c>
      <c r="H6" s="9">
        <f>IFERROR(INDEX('All products'!$H$2:$H$107,MATCH(1,'All products'!$Q$2:$Q$107,0))&amp;"","")</f>
        <v/>
      </c>
      <c r="I6" s="9">
        <f>IFERROR(INDEX('All products'!$I$2:$I$107,MATCH(1,'All products'!$Q$2:$Q$107,0))&amp;"","")</f>
        <v/>
      </c>
      <c r="J6" s="9">
        <f>IFERROR(INDEX('All products'!$J$2:$J$107,MATCH(1,'All products'!$Q$2:$Q$107,0))&amp;"","")</f>
        <v/>
      </c>
      <c r="K6" s="9">
        <f>IFERROR(INDEX('All products'!$K$2:$K$107,MATCH(1,'All products'!$Q$2:$Q$107,0))&amp;"","")</f>
        <v/>
      </c>
      <c r="L6" s="9">
        <f>IFERROR(INDEX('All products'!$L$2:$L$107,MATCH(1,'All products'!$Q$2:$Q$107,0))&amp;"","")</f>
        <v/>
      </c>
      <c r="M6" s="9">
        <f>IFERROR(INDEX('All products'!$M$2:$M$107,MATCH(1,'All products'!$Q$2:$Q$107,0))&amp;"","")</f>
        <v/>
      </c>
      <c r="N6" s="9">
        <f>IFERROR(INDEX('All products'!$N$2:$N$107,MATCH(1,'All products'!$Q$2:$Q$107,0))&amp;"","")</f>
        <v/>
      </c>
      <c r="O6" s="9">
        <f>IFERROR(HYPERLINK(INDEX('All products'!$O$2:$O$107,MATCH(1,'All products'!$Q$2:$Q$107,0))),"")</f>
        <v/>
      </c>
    </row>
    <row r="7" ht="15" customHeight="1" s="10">
      <c r="A7" s="9">
        <f>IFERROR(INDEX('All products'!$A$2:$A$107,MATCH(2,'All products'!$Q$2:$Q$107,0))&amp;"","")</f>
        <v/>
      </c>
      <c r="B7" s="9">
        <f>IFERROR(INDEX('All products'!$B$2:$B$107,MATCH(2,'All products'!$Q$2:$Q$107,0))&amp;"","")</f>
        <v/>
      </c>
      <c r="C7" s="9">
        <f>IFERROR(INDEX('All products'!$C$2:$C$107,MATCH(2,'All products'!$Q$2:$Q$107,0))&amp;"","")</f>
        <v/>
      </c>
      <c r="D7" s="9">
        <f>IFERROR(INDEX('All products'!$D$2:$D$107,MATCH(2,'All products'!$Q$2:$Q$107,0))&amp;"","")</f>
        <v/>
      </c>
      <c r="E7" s="9">
        <f>IFERROR(INDEX('All products'!$E$2:$E$107,MATCH(2,'All products'!$Q$2:$Q$107,0))&amp;"","")</f>
        <v/>
      </c>
      <c r="F7" s="9">
        <f>IFERROR(INDEX('All products'!$F$2:$F$107,MATCH(2,'All products'!$Q$2:$Q$107,0))&amp;"","")</f>
        <v/>
      </c>
      <c r="G7" s="9">
        <f>IFERROR(INDEX('All products'!$G$2:$G$107,MATCH(2,'All products'!$Q$2:$Q$107,0))&amp;"","")</f>
        <v/>
      </c>
      <c r="H7" s="9">
        <f>IFERROR(INDEX('All products'!$H$2:$H$107,MATCH(2,'All products'!$Q$2:$Q$107,0))&amp;"","")</f>
        <v/>
      </c>
      <c r="I7" s="9">
        <f>IFERROR(INDEX('All products'!$I$2:$I$107,MATCH(2,'All products'!$Q$2:$Q$107,0))&amp;"","")</f>
        <v/>
      </c>
      <c r="J7" s="9">
        <f>IFERROR(INDEX('All products'!$J$2:$J$107,MATCH(2,'All products'!$Q$2:$Q$107,0))&amp;"","")</f>
        <v/>
      </c>
      <c r="K7" s="9">
        <f>IFERROR(INDEX('All products'!$K$2:$K$107,MATCH(2,'All products'!$Q$2:$Q$107,0))&amp;"","")</f>
        <v/>
      </c>
      <c r="L7" s="9">
        <f>IFERROR(INDEX('All products'!$L$2:$L$107,MATCH(2,'All products'!$Q$2:$Q$107,0))&amp;"","")</f>
        <v/>
      </c>
      <c r="M7" s="9">
        <f>IFERROR(INDEX('All products'!$M$2:$M$107,MATCH(2,'All products'!$Q$2:$Q$107,0))&amp;"","")</f>
        <v/>
      </c>
      <c r="N7" s="9">
        <f>IFERROR(INDEX('All products'!$N$2:$N$107,MATCH(2,'All products'!$Q$2:$Q$107,0))&amp;"","")</f>
        <v/>
      </c>
      <c r="O7" s="9">
        <f>IFERROR(HYPERLINK(INDEX('All products'!$O$2:$O$107,MATCH(2,'All products'!$Q$2:$Q$107,0))),"")</f>
        <v/>
      </c>
    </row>
    <row r="8" ht="15" customHeight="1" s="10">
      <c r="A8" s="9">
        <f>IFERROR(INDEX('All products'!$A$2:$A$107,MATCH(3,'All products'!$Q$2:$Q$107,0))&amp;"","")</f>
        <v/>
      </c>
      <c r="B8" s="9">
        <f>IFERROR(INDEX('All products'!$B$2:$B$107,MATCH(3,'All products'!$Q$2:$Q$107,0))&amp;"","")</f>
        <v/>
      </c>
      <c r="C8" s="9">
        <f>IFERROR(INDEX('All products'!$C$2:$C$107,MATCH(3,'All products'!$Q$2:$Q$107,0))&amp;"","")</f>
        <v/>
      </c>
      <c r="D8" s="9">
        <f>IFERROR(INDEX('All products'!$D$2:$D$107,MATCH(3,'All products'!$Q$2:$Q$107,0))&amp;"","")</f>
        <v/>
      </c>
      <c r="E8" s="9">
        <f>IFERROR(INDEX('All products'!$E$2:$E$107,MATCH(3,'All products'!$Q$2:$Q$107,0))&amp;"","")</f>
        <v/>
      </c>
      <c r="F8" s="9">
        <f>IFERROR(INDEX('All products'!$F$2:$F$107,MATCH(3,'All products'!$Q$2:$Q$107,0))&amp;"","")</f>
        <v/>
      </c>
      <c r="G8" s="9">
        <f>IFERROR(INDEX('All products'!$G$2:$G$107,MATCH(3,'All products'!$Q$2:$Q$107,0))&amp;"","")</f>
        <v/>
      </c>
      <c r="H8" s="9">
        <f>IFERROR(INDEX('All products'!$H$2:$H$107,MATCH(3,'All products'!$Q$2:$Q$107,0))&amp;"","")</f>
        <v/>
      </c>
      <c r="I8" s="9">
        <f>IFERROR(INDEX('All products'!$I$2:$I$107,MATCH(3,'All products'!$Q$2:$Q$107,0))&amp;"","")</f>
        <v/>
      </c>
      <c r="J8" s="9">
        <f>IFERROR(INDEX('All products'!$J$2:$J$107,MATCH(3,'All products'!$Q$2:$Q$107,0))&amp;"","")</f>
        <v/>
      </c>
      <c r="K8" s="9">
        <f>IFERROR(INDEX('All products'!$K$2:$K$107,MATCH(3,'All products'!$Q$2:$Q$107,0))&amp;"","")</f>
        <v/>
      </c>
      <c r="L8" s="9">
        <f>IFERROR(INDEX('All products'!$L$2:$L$107,MATCH(3,'All products'!$Q$2:$Q$107,0))&amp;"","")</f>
        <v/>
      </c>
      <c r="M8" s="9">
        <f>IFERROR(INDEX('All products'!$M$2:$M$107,MATCH(3,'All products'!$Q$2:$Q$107,0))&amp;"","")</f>
        <v/>
      </c>
      <c r="N8" s="9">
        <f>IFERROR(INDEX('All products'!$N$2:$N$107,MATCH(3,'All products'!$Q$2:$Q$107,0))&amp;"","")</f>
        <v/>
      </c>
      <c r="O8" s="9">
        <f>IFERROR(HYPERLINK(INDEX('All products'!$O$2:$O$107,MATCH(3,'All products'!$Q$2:$Q$107,0))),"")</f>
        <v/>
      </c>
    </row>
    <row r="9" ht="15" customHeight="1" s="10">
      <c r="A9" s="9">
        <f>IFERROR(INDEX('All products'!$A$2:$A$107,MATCH(4,'All products'!$Q$2:$Q$107,0))&amp;"","")</f>
        <v/>
      </c>
      <c r="B9" s="9">
        <f>IFERROR(INDEX('All products'!$B$2:$B$107,MATCH(4,'All products'!$Q$2:$Q$107,0))&amp;"","")</f>
        <v/>
      </c>
      <c r="C9" s="9">
        <f>IFERROR(INDEX('All products'!$C$2:$C$107,MATCH(4,'All products'!$Q$2:$Q$107,0))&amp;"","")</f>
        <v/>
      </c>
      <c r="D9" s="9">
        <f>IFERROR(INDEX('All products'!$D$2:$D$107,MATCH(4,'All products'!$Q$2:$Q$107,0))&amp;"","")</f>
        <v/>
      </c>
      <c r="E9" s="9">
        <f>IFERROR(INDEX('All products'!$E$2:$E$107,MATCH(4,'All products'!$Q$2:$Q$107,0))&amp;"","")</f>
        <v/>
      </c>
      <c r="F9" s="9">
        <f>IFERROR(INDEX('All products'!$F$2:$F$107,MATCH(4,'All products'!$Q$2:$Q$107,0))&amp;"","")</f>
        <v/>
      </c>
      <c r="G9" s="9">
        <f>IFERROR(INDEX('All products'!$G$2:$G$107,MATCH(4,'All products'!$Q$2:$Q$107,0))&amp;"","")</f>
        <v/>
      </c>
      <c r="H9" s="9">
        <f>IFERROR(INDEX('All products'!$H$2:$H$107,MATCH(4,'All products'!$Q$2:$Q$107,0))&amp;"","")</f>
        <v/>
      </c>
      <c r="I9" s="9">
        <f>IFERROR(INDEX('All products'!$I$2:$I$107,MATCH(4,'All products'!$Q$2:$Q$107,0))&amp;"","")</f>
        <v/>
      </c>
      <c r="J9" s="9">
        <f>IFERROR(INDEX('All products'!$J$2:$J$107,MATCH(4,'All products'!$Q$2:$Q$107,0))&amp;"","")</f>
        <v/>
      </c>
      <c r="K9" s="9">
        <f>IFERROR(INDEX('All products'!$K$2:$K$107,MATCH(4,'All products'!$Q$2:$Q$107,0))&amp;"","")</f>
        <v/>
      </c>
      <c r="L9" s="9">
        <f>IFERROR(INDEX('All products'!$L$2:$L$107,MATCH(4,'All products'!$Q$2:$Q$107,0))&amp;"","")</f>
        <v/>
      </c>
      <c r="M9" s="9">
        <f>IFERROR(INDEX('All products'!$M$2:$M$107,MATCH(4,'All products'!$Q$2:$Q$107,0))&amp;"","")</f>
        <v/>
      </c>
      <c r="N9" s="9">
        <f>IFERROR(INDEX('All products'!$N$2:$N$107,MATCH(4,'All products'!$Q$2:$Q$107,0))&amp;"","")</f>
        <v/>
      </c>
      <c r="O9" s="9">
        <f>IFERROR(HYPERLINK(INDEX('All products'!$O$2:$O$107,MATCH(4,'All products'!$Q$2:$Q$107,0))),"")</f>
        <v/>
      </c>
    </row>
    <row r="10" ht="15" customHeight="1" s="10">
      <c r="A10" s="9">
        <f>IFERROR(INDEX('All products'!$A$2:$A$107,MATCH(5,'All products'!$Q$2:$Q$107,0))&amp;"","")</f>
        <v/>
      </c>
      <c r="B10" s="9">
        <f>IFERROR(INDEX('All products'!$B$2:$B$107,MATCH(5,'All products'!$Q$2:$Q$107,0))&amp;"","")</f>
        <v/>
      </c>
      <c r="C10" s="9">
        <f>IFERROR(INDEX('All products'!$C$2:$C$107,MATCH(5,'All products'!$Q$2:$Q$107,0))&amp;"","")</f>
        <v/>
      </c>
      <c r="D10" s="9">
        <f>IFERROR(INDEX('All products'!$D$2:$D$107,MATCH(5,'All products'!$Q$2:$Q$107,0))&amp;"","")</f>
        <v/>
      </c>
      <c r="E10" s="9">
        <f>IFERROR(INDEX('All products'!$E$2:$E$107,MATCH(5,'All products'!$Q$2:$Q$107,0))&amp;"","")</f>
        <v/>
      </c>
      <c r="F10" s="9">
        <f>IFERROR(INDEX('All products'!$F$2:$F$107,MATCH(5,'All products'!$Q$2:$Q$107,0))&amp;"","")</f>
        <v/>
      </c>
      <c r="G10" s="9">
        <f>IFERROR(INDEX('All products'!$G$2:$G$107,MATCH(5,'All products'!$Q$2:$Q$107,0))&amp;"","")</f>
        <v/>
      </c>
      <c r="H10" s="9">
        <f>IFERROR(INDEX('All products'!$H$2:$H$107,MATCH(5,'All products'!$Q$2:$Q$107,0))&amp;"","")</f>
        <v/>
      </c>
      <c r="I10" s="9">
        <f>IFERROR(INDEX('All products'!$I$2:$I$107,MATCH(5,'All products'!$Q$2:$Q$107,0))&amp;"","")</f>
        <v/>
      </c>
      <c r="J10" s="9">
        <f>IFERROR(INDEX('All products'!$J$2:$J$107,MATCH(5,'All products'!$Q$2:$Q$107,0))&amp;"","")</f>
        <v/>
      </c>
      <c r="K10" s="9">
        <f>IFERROR(INDEX('All products'!$K$2:$K$107,MATCH(5,'All products'!$Q$2:$Q$107,0))&amp;"","")</f>
        <v/>
      </c>
      <c r="L10" s="9">
        <f>IFERROR(INDEX('All products'!$L$2:$L$107,MATCH(5,'All products'!$Q$2:$Q$107,0))&amp;"","")</f>
        <v/>
      </c>
      <c r="M10" s="9">
        <f>IFERROR(INDEX('All products'!$M$2:$M$107,MATCH(5,'All products'!$Q$2:$Q$107,0))&amp;"","")</f>
        <v/>
      </c>
      <c r="N10" s="9">
        <f>IFERROR(INDEX('All products'!$N$2:$N$107,MATCH(5,'All products'!$Q$2:$Q$107,0))&amp;"","")</f>
        <v/>
      </c>
      <c r="O10" s="9">
        <f>IFERROR(HYPERLINK(INDEX('All products'!$O$2:$O$107,MATCH(5,'All products'!$Q$2:$Q$107,0))),"")</f>
        <v/>
      </c>
    </row>
    <row r="11" ht="15" customHeight="1" s="10">
      <c r="A11" s="9">
        <f>IFERROR(INDEX('All products'!$A$2:$A$107,MATCH(6,'All products'!$Q$2:$Q$107,0))&amp;"","")</f>
        <v/>
      </c>
      <c r="B11" s="9">
        <f>IFERROR(INDEX('All products'!$B$2:$B$107,MATCH(6,'All products'!$Q$2:$Q$107,0))&amp;"","")</f>
        <v/>
      </c>
      <c r="C11" s="9">
        <f>IFERROR(INDEX('All products'!$C$2:$C$107,MATCH(6,'All products'!$Q$2:$Q$107,0))&amp;"","")</f>
        <v/>
      </c>
      <c r="D11" s="9">
        <f>IFERROR(INDEX('All products'!$D$2:$D$107,MATCH(6,'All products'!$Q$2:$Q$107,0))&amp;"","")</f>
        <v/>
      </c>
      <c r="E11" s="9">
        <f>IFERROR(INDEX('All products'!$E$2:$E$107,MATCH(6,'All products'!$Q$2:$Q$107,0))&amp;"","")</f>
        <v/>
      </c>
      <c r="F11" s="9">
        <f>IFERROR(INDEX('All products'!$F$2:$F$107,MATCH(6,'All products'!$Q$2:$Q$107,0))&amp;"","")</f>
        <v/>
      </c>
      <c r="G11" s="9">
        <f>IFERROR(INDEX('All products'!$G$2:$G$107,MATCH(6,'All products'!$Q$2:$Q$107,0))&amp;"","")</f>
        <v/>
      </c>
      <c r="H11" s="9">
        <f>IFERROR(INDEX('All products'!$H$2:$H$107,MATCH(6,'All products'!$Q$2:$Q$107,0))&amp;"","")</f>
        <v/>
      </c>
      <c r="I11" s="9">
        <f>IFERROR(INDEX('All products'!$I$2:$I$107,MATCH(6,'All products'!$Q$2:$Q$107,0))&amp;"","")</f>
        <v/>
      </c>
      <c r="J11" s="9">
        <f>IFERROR(INDEX('All products'!$J$2:$J$107,MATCH(6,'All products'!$Q$2:$Q$107,0))&amp;"","")</f>
        <v/>
      </c>
      <c r="K11" s="9">
        <f>IFERROR(INDEX('All products'!$K$2:$K$107,MATCH(6,'All products'!$Q$2:$Q$107,0))&amp;"","")</f>
        <v/>
      </c>
      <c r="L11" s="9">
        <f>IFERROR(INDEX('All products'!$L$2:$L$107,MATCH(6,'All products'!$Q$2:$Q$107,0))&amp;"","")</f>
        <v/>
      </c>
      <c r="M11" s="9">
        <f>IFERROR(INDEX('All products'!$M$2:$M$107,MATCH(6,'All products'!$Q$2:$Q$107,0))&amp;"","")</f>
        <v/>
      </c>
      <c r="N11" s="9">
        <f>IFERROR(INDEX('All products'!$N$2:$N$107,MATCH(6,'All products'!$Q$2:$Q$107,0))&amp;"","")</f>
        <v/>
      </c>
      <c r="O11" s="9">
        <f>IFERROR(HYPERLINK(INDEX('All products'!$O$2:$O$107,MATCH(6,'All products'!$Q$2:$Q$107,0))),"")</f>
        <v/>
      </c>
    </row>
    <row r="12" ht="15" customHeight="1" s="10">
      <c r="A12" s="9">
        <f>IFERROR(INDEX('All products'!$A$2:$A$107,MATCH(7,'All products'!$Q$2:$Q$107,0))&amp;"","")</f>
        <v/>
      </c>
      <c r="B12" s="9">
        <f>IFERROR(INDEX('All products'!$B$2:$B$107,MATCH(7,'All products'!$Q$2:$Q$107,0))&amp;"","")</f>
        <v/>
      </c>
      <c r="C12" s="9">
        <f>IFERROR(INDEX('All products'!$C$2:$C$107,MATCH(7,'All products'!$Q$2:$Q$107,0))&amp;"","")</f>
        <v/>
      </c>
      <c r="D12" s="9">
        <f>IFERROR(INDEX('All products'!$D$2:$D$107,MATCH(7,'All products'!$Q$2:$Q$107,0))&amp;"","")</f>
        <v/>
      </c>
      <c r="E12" s="9">
        <f>IFERROR(INDEX('All products'!$E$2:$E$107,MATCH(7,'All products'!$Q$2:$Q$107,0))&amp;"","")</f>
        <v/>
      </c>
      <c r="F12" s="9">
        <f>IFERROR(INDEX('All products'!$F$2:$F$107,MATCH(7,'All products'!$Q$2:$Q$107,0))&amp;"","")</f>
        <v/>
      </c>
      <c r="G12" s="9">
        <f>IFERROR(INDEX('All products'!$G$2:$G$107,MATCH(7,'All products'!$Q$2:$Q$107,0))&amp;"","")</f>
        <v/>
      </c>
      <c r="H12" s="9">
        <f>IFERROR(INDEX('All products'!$H$2:$H$107,MATCH(7,'All products'!$Q$2:$Q$107,0))&amp;"","")</f>
        <v/>
      </c>
      <c r="I12" s="9">
        <f>IFERROR(INDEX('All products'!$I$2:$I$107,MATCH(7,'All products'!$Q$2:$Q$107,0))&amp;"","")</f>
        <v/>
      </c>
      <c r="J12" s="9">
        <f>IFERROR(INDEX('All products'!$J$2:$J$107,MATCH(7,'All products'!$Q$2:$Q$107,0))&amp;"","")</f>
        <v/>
      </c>
      <c r="K12" s="9">
        <f>IFERROR(INDEX('All products'!$K$2:$K$107,MATCH(7,'All products'!$Q$2:$Q$107,0))&amp;"","")</f>
        <v/>
      </c>
      <c r="L12" s="9">
        <f>IFERROR(INDEX('All products'!$L$2:$L$107,MATCH(7,'All products'!$Q$2:$Q$107,0))&amp;"","")</f>
        <v/>
      </c>
      <c r="M12" s="9">
        <f>IFERROR(INDEX('All products'!$M$2:$M$107,MATCH(7,'All products'!$Q$2:$Q$107,0))&amp;"","")</f>
        <v/>
      </c>
      <c r="N12" s="9">
        <f>IFERROR(INDEX('All products'!$N$2:$N$107,MATCH(7,'All products'!$Q$2:$Q$107,0))&amp;"","")</f>
        <v/>
      </c>
      <c r="O12" s="9">
        <f>IFERROR(HYPERLINK(INDEX('All products'!$O$2:$O$107,MATCH(7,'All products'!$Q$2:$Q$107,0))),"")</f>
        <v/>
      </c>
    </row>
    <row r="13" ht="15" customHeight="1" s="10">
      <c r="A13" s="9">
        <f>IFERROR(INDEX('All products'!$A$2:$A$107,MATCH(8,'All products'!$Q$2:$Q$107,0))&amp;"","")</f>
        <v/>
      </c>
      <c r="B13" s="9">
        <f>IFERROR(INDEX('All products'!$B$2:$B$107,MATCH(8,'All products'!$Q$2:$Q$107,0))&amp;"","")</f>
        <v/>
      </c>
      <c r="C13" s="9">
        <f>IFERROR(INDEX('All products'!$C$2:$C$107,MATCH(8,'All products'!$Q$2:$Q$107,0))&amp;"","")</f>
        <v/>
      </c>
      <c r="D13" s="9">
        <f>IFERROR(INDEX('All products'!$D$2:$D$107,MATCH(8,'All products'!$Q$2:$Q$107,0))&amp;"","")</f>
        <v/>
      </c>
      <c r="E13" s="9">
        <f>IFERROR(INDEX('All products'!$E$2:$E$107,MATCH(8,'All products'!$Q$2:$Q$107,0))&amp;"","")</f>
        <v/>
      </c>
      <c r="F13" s="9">
        <f>IFERROR(INDEX('All products'!$F$2:$F$107,MATCH(8,'All products'!$Q$2:$Q$107,0))&amp;"","")</f>
        <v/>
      </c>
      <c r="G13" s="9">
        <f>IFERROR(INDEX('All products'!$G$2:$G$107,MATCH(8,'All products'!$Q$2:$Q$107,0))&amp;"","")</f>
        <v/>
      </c>
      <c r="H13" s="9">
        <f>IFERROR(INDEX('All products'!$H$2:$H$107,MATCH(8,'All products'!$Q$2:$Q$107,0))&amp;"","")</f>
        <v/>
      </c>
      <c r="I13" s="9">
        <f>IFERROR(INDEX('All products'!$I$2:$I$107,MATCH(8,'All products'!$Q$2:$Q$107,0))&amp;"","")</f>
        <v/>
      </c>
      <c r="J13" s="9">
        <f>IFERROR(INDEX('All products'!$J$2:$J$107,MATCH(8,'All products'!$Q$2:$Q$107,0))&amp;"","")</f>
        <v/>
      </c>
      <c r="K13" s="9">
        <f>IFERROR(INDEX('All products'!$K$2:$K$107,MATCH(8,'All products'!$Q$2:$Q$107,0))&amp;"","")</f>
        <v/>
      </c>
      <c r="L13" s="9">
        <f>IFERROR(INDEX('All products'!$L$2:$L$107,MATCH(8,'All products'!$Q$2:$Q$107,0))&amp;"","")</f>
        <v/>
      </c>
      <c r="M13" s="9">
        <f>IFERROR(INDEX('All products'!$M$2:$M$107,MATCH(8,'All products'!$Q$2:$Q$107,0))&amp;"","")</f>
        <v/>
      </c>
      <c r="N13" s="9">
        <f>IFERROR(INDEX('All products'!$N$2:$N$107,MATCH(8,'All products'!$Q$2:$Q$107,0))&amp;"","")</f>
        <v/>
      </c>
      <c r="O13" s="9">
        <f>IFERROR(HYPERLINK(INDEX('All products'!$O$2:$O$107,MATCH(8,'All products'!$Q$2:$Q$107,0))),"")</f>
        <v/>
      </c>
    </row>
    <row r="14" ht="15" customHeight="1" s="10">
      <c r="A14" s="9">
        <f>IFERROR(INDEX('All products'!$A$2:$A$107,MATCH(9,'All products'!$Q$2:$Q$107,0))&amp;"","")</f>
        <v/>
      </c>
      <c r="B14" s="9">
        <f>IFERROR(INDEX('All products'!$B$2:$B$107,MATCH(9,'All products'!$Q$2:$Q$107,0))&amp;"","")</f>
        <v/>
      </c>
      <c r="C14" s="9">
        <f>IFERROR(INDEX('All products'!$C$2:$C$107,MATCH(9,'All products'!$Q$2:$Q$107,0))&amp;"","")</f>
        <v/>
      </c>
      <c r="D14" s="9">
        <f>IFERROR(INDEX('All products'!$D$2:$D$107,MATCH(9,'All products'!$Q$2:$Q$107,0))&amp;"","")</f>
        <v/>
      </c>
      <c r="E14" s="9">
        <f>IFERROR(INDEX('All products'!$E$2:$E$107,MATCH(9,'All products'!$Q$2:$Q$107,0))&amp;"","")</f>
        <v/>
      </c>
      <c r="F14" s="9">
        <f>IFERROR(INDEX('All products'!$F$2:$F$107,MATCH(9,'All products'!$Q$2:$Q$107,0))&amp;"","")</f>
        <v/>
      </c>
      <c r="G14" s="9">
        <f>IFERROR(INDEX('All products'!$G$2:$G$107,MATCH(9,'All products'!$Q$2:$Q$107,0))&amp;"","")</f>
        <v/>
      </c>
      <c r="H14" s="9">
        <f>IFERROR(INDEX('All products'!$H$2:$H$107,MATCH(9,'All products'!$Q$2:$Q$107,0))&amp;"","")</f>
        <v/>
      </c>
      <c r="I14" s="9">
        <f>IFERROR(INDEX('All products'!$I$2:$I$107,MATCH(9,'All products'!$Q$2:$Q$107,0))&amp;"","")</f>
        <v/>
      </c>
      <c r="J14" s="9">
        <f>IFERROR(INDEX('All products'!$J$2:$J$107,MATCH(9,'All products'!$Q$2:$Q$107,0))&amp;"","")</f>
        <v/>
      </c>
      <c r="K14" s="9">
        <f>IFERROR(INDEX('All products'!$K$2:$K$107,MATCH(9,'All products'!$Q$2:$Q$107,0))&amp;"","")</f>
        <v/>
      </c>
      <c r="L14" s="9">
        <f>IFERROR(INDEX('All products'!$L$2:$L$107,MATCH(9,'All products'!$Q$2:$Q$107,0))&amp;"","")</f>
        <v/>
      </c>
      <c r="M14" s="9">
        <f>IFERROR(INDEX('All products'!$M$2:$M$107,MATCH(9,'All products'!$Q$2:$Q$107,0))&amp;"","")</f>
        <v/>
      </c>
      <c r="N14" s="9">
        <f>IFERROR(INDEX('All products'!$N$2:$N$107,MATCH(9,'All products'!$Q$2:$Q$107,0))&amp;"","")</f>
        <v/>
      </c>
      <c r="O14" s="9">
        <f>IFERROR(HYPERLINK(INDEX('All products'!$O$2:$O$107,MATCH(9,'All products'!$Q$2:$Q$107,0))),"")</f>
        <v/>
      </c>
    </row>
    <row r="15" ht="15" customHeight="1" s="10">
      <c r="A15" s="9">
        <f>IFERROR(INDEX('All products'!$A$2:$A$107,MATCH(10,'All products'!$Q$2:$Q$107,0))&amp;"","")</f>
        <v/>
      </c>
      <c r="B15" s="9">
        <f>IFERROR(INDEX('All products'!$B$2:$B$107,MATCH(10,'All products'!$Q$2:$Q$107,0))&amp;"","")</f>
        <v/>
      </c>
      <c r="C15" s="9">
        <f>IFERROR(INDEX('All products'!$C$2:$C$107,MATCH(10,'All products'!$Q$2:$Q$107,0))&amp;"","")</f>
        <v/>
      </c>
      <c r="D15" s="9">
        <f>IFERROR(INDEX('All products'!$D$2:$D$107,MATCH(10,'All products'!$Q$2:$Q$107,0))&amp;"","")</f>
        <v/>
      </c>
      <c r="E15" s="9">
        <f>IFERROR(INDEX('All products'!$E$2:$E$107,MATCH(10,'All products'!$Q$2:$Q$107,0))&amp;"","")</f>
        <v/>
      </c>
      <c r="F15" s="9">
        <f>IFERROR(INDEX('All products'!$F$2:$F$107,MATCH(10,'All products'!$Q$2:$Q$107,0))&amp;"","")</f>
        <v/>
      </c>
      <c r="G15" s="9">
        <f>IFERROR(INDEX('All products'!$G$2:$G$107,MATCH(10,'All products'!$Q$2:$Q$107,0))&amp;"","")</f>
        <v/>
      </c>
      <c r="H15" s="9">
        <f>IFERROR(INDEX('All products'!$H$2:$H$107,MATCH(10,'All products'!$Q$2:$Q$107,0))&amp;"","")</f>
        <v/>
      </c>
      <c r="I15" s="9">
        <f>IFERROR(INDEX('All products'!$I$2:$I$107,MATCH(10,'All products'!$Q$2:$Q$107,0))&amp;"","")</f>
        <v/>
      </c>
      <c r="J15" s="9">
        <f>IFERROR(INDEX('All products'!$J$2:$J$107,MATCH(10,'All products'!$Q$2:$Q$107,0))&amp;"","")</f>
        <v/>
      </c>
      <c r="K15" s="9">
        <f>IFERROR(INDEX('All products'!$K$2:$K$107,MATCH(10,'All products'!$Q$2:$Q$107,0))&amp;"","")</f>
        <v/>
      </c>
      <c r="L15" s="9">
        <f>IFERROR(INDEX('All products'!$L$2:$L$107,MATCH(10,'All products'!$Q$2:$Q$107,0))&amp;"","")</f>
        <v/>
      </c>
      <c r="M15" s="9">
        <f>IFERROR(INDEX('All products'!$M$2:$M$107,MATCH(10,'All products'!$Q$2:$Q$107,0))&amp;"","")</f>
        <v/>
      </c>
      <c r="N15" s="9">
        <f>IFERROR(INDEX('All products'!$N$2:$N$107,MATCH(10,'All products'!$Q$2:$Q$107,0))&amp;"","")</f>
        <v/>
      </c>
      <c r="O15" s="9">
        <f>IFERROR(HYPERLINK(INDEX('All products'!$O$2:$O$107,MATCH(10,'All products'!$Q$2:$Q$107,0))),"")</f>
        <v/>
      </c>
    </row>
    <row r="16" ht="15" customHeight="1" s="10">
      <c r="A16" s="9">
        <f>IFERROR(INDEX('All products'!$A$2:$A$107,MATCH(11,'All products'!$Q$2:$Q$107,0))&amp;"","")</f>
        <v/>
      </c>
      <c r="B16" s="9">
        <f>IFERROR(INDEX('All products'!$B$2:$B$107,MATCH(11,'All products'!$Q$2:$Q$107,0))&amp;"","")</f>
        <v/>
      </c>
      <c r="C16" s="9">
        <f>IFERROR(INDEX('All products'!$C$2:$C$107,MATCH(11,'All products'!$Q$2:$Q$107,0))&amp;"","")</f>
        <v/>
      </c>
      <c r="D16" s="9">
        <f>IFERROR(INDEX('All products'!$D$2:$D$107,MATCH(11,'All products'!$Q$2:$Q$107,0))&amp;"","")</f>
        <v/>
      </c>
      <c r="E16" s="9">
        <f>IFERROR(INDEX('All products'!$E$2:$E$107,MATCH(11,'All products'!$Q$2:$Q$107,0))&amp;"","")</f>
        <v/>
      </c>
      <c r="F16" s="9">
        <f>IFERROR(INDEX('All products'!$F$2:$F$107,MATCH(11,'All products'!$Q$2:$Q$107,0))&amp;"","")</f>
        <v/>
      </c>
      <c r="G16" s="9">
        <f>IFERROR(INDEX('All products'!$G$2:$G$107,MATCH(11,'All products'!$Q$2:$Q$107,0))&amp;"","")</f>
        <v/>
      </c>
      <c r="H16" s="9">
        <f>IFERROR(INDEX('All products'!$H$2:$H$107,MATCH(11,'All products'!$Q$2:$Q$107,0))&amp;"","")</f>
        <v/>
      </c>
      <c r="I16" s="9">
        <f>IFERROR(INDEX('All products'!$I$2:$I$107,MATCH(11,'All products'!$Q$2:$Q$107,0))&amp;"","")</f>
        <v/>
      </c>
      <c r="J16" s="9">
        <f>IFERROR(INDEX('All products'!$J$2:$J$107,MATCH(11,'All products'!$Q$2:$Q$107,0))&amp;"","")</f>
        <v/>
      </c>
      <c r="K16" s="9">
        <f>IFERROR(INDEX('All products'!$K$2:$K$107,MATCH(11,'All products'!$Q$2:$Q$107,0))&amp;"","")</f>
        <v/>
      </c>
      <c r="L16" s="9">
        <f>IFERROR(INDEX('All products'!$L$2:$L$107,MATCH(11,'All products'!$Q$2:$Q$107,0))&amp;"","")</f>
        <v/>
      </c>
      <c r="M16" s="9">
        <f>IFERROR(INDEX('All products'!$M$2:$M$107,MATCH(11,'All products'!$Q$2:$Q$107,0))&amp;"","")</f>
        <v/>
      </c>
      <c r="N16" s="9">
        <f>IFERROR(INDEX('All products'!$N$2:$N$107,MATCH(11,'All products'!$Q$2:$Q$107,0))&amp;"","")</f>
        <v/>
      </c>
      <c r="O16" s="9">
        <f>IFERROR(HYPERLINK(INDEX('All products'!$O$2:$O$107,MATCH(11,'All products'!$Q$2:$Q$107,0))),"")</f>
        <v/>
      </c>
    </row>
    <row r="17" ht="15" customHeight="1" s="10">
      <c r="A17" s="9">
        <f>IFERROR(INDEX('All products'!$A$2:$A$107,MATCH(12,'All products'!$Q$2:$Q$107,0))&amp;"","")</f>
        <v/>
      </c>
      <c r="B17" s="9">
        <f>IFERROR(INDEX('All products'!$B$2:$B$107,MATCH(12,'All products'!$Q$2:$Q$107,0))&amp;"","")</f>
        <v/>
      </c>
      <c r="C17" s="9">
        <f>IFERROR(INDEX('All products'!$C$2:$C$107,MATCH(12,'All products'!$Q$2:$Q$107,0))&amp;"","")</f>
        <v/>
      </c>
      <c r="D17" s="9">
        <f>IFERROR(INDEX('All products'!$D$2:$D$107,MATCH(12,'All products'!$Q$2:$Q$107,0))&amp;"","")</f>
        <v/>
      </c>
      <c r="E17" s="9">
        <f>IFERROR(INDEX('All products'!$E$2:$E$107,MATCH(12,'All products'!$Q$2:$Q$107,0))&amp;"","")</f>
        <v/>
      </c>
      <c r="F17" s="9">
        <f>IFERROR(INDEX('All products'!$F$2:$F$107,MATCH(12,'All products'!$Q$2:$Q$107,0))&amp;"","")</f>
        <v/>
      </c>
      <c r="G17" s="9">
        <f>IFERROR(INDEX('All products'!$G$2:$G$107,MATCH(12,'All products'!$Q$2:$Q$107,0))&amp;"","")</f>
        <v/>
      </c>
      <c r="H17" s="9">
        <f>IFERROR(INDEX('All products'!$H$2:$H$107,MATCH(12,'All products'!$Q$2:$Q$107,0))&amp;"","")</f>
        <v/>
      </c>
      <c r="I17" s="9">
        <f>IFERROR(INDEX('All products'!$I$2:$I$107,MATCH(12,'All products'!$Q$2:$Q$107,0))&amp;"","")</f>
        <v/>
      </c>
      <c r="J17" s="9">
        <f>IFERROR(INDEX('All products'!$J$2:$J$107,MATCH(12,'All products'!$Q$2:$Q$107,0))&amp;"","")</f>
        <v/>
      </c>
      <c r="K17" s="9">
        <f>IFERROR(INDEX('All products'!$K$2:$K$107,MATCH(12,'All products'!$Q$2:$Q$107,0))&amp;"","")</f>
        <v/>
      </c>
      <c r="L17" s="9">
        <f>IFERROR(INDEX('All products'!$L$2:$L$107,MATCH(12,'All products'!$Q$2:$Q$107,0))&amp;"","")</f>
        <v/>
      </c>
      <c r="M17" s="9">
        <f>IFERROR(INDEX('All products'!$M$2:$M$107,MATCH(12,'All products'!$Q$2:$Q$107,0))&amp;"","")</f>
        <v/>
      </c>
      <c r="N17" s="9">
        <f>IFERROR(INDEX('All products'!$N$2:$N$107,MATCH(12,'All products'!$Q$2:$Q$107,0))&amp;"","")</f>
        <v/>
      </c>
      <c r="O17" s="9">
        <f>IFERROR(HYPERLINK(INDEX('All products'!$O$2:$O$107,MATCH(12,'All products'!$Q$2:$Q$107,0))),"")</f>
        <v/>
      </c>
    </row>
    <row r="18" ht="15" customHeight="1" s="10">
      <c r="A18" s="9">
        <f>IFERROR(INDEX('All products'!$A$2:$A$107,MATCH(13,'All products'!$Q$2:$Q$107,0))&amp;"","")</f>
        <v/>
      </c>
      <c r="B18" s="9">
        <f>IFERROR(INDEX('All products'!$B$2:$B$107,MATCH(13,'All products'!$Q$2:$Q$107,0))&amp;"","")</f>
        <v/>
      </c>
      <c r="C18" s="9">
        <f>IFERROR(INDEX('All products'!$C$2:$C$107,MATCH(13,'All products'!$Q$2:$Q$107,0))&amp;"","")</f>
        <v/>
      </c>
      <c r="D18" s="9">
        <f>IFERROR(INDEX('All products'!$D$2:$D$107,MATCH(13,'All products'!$Q$2:$Q$107,0))&amp;"","")</f>
        <v/>
      </c>
      <c r="E18" s="9">
        <f>IFERROR(INDEX('All products'!$E$2:$E$107,MATCH(13,'All products'!$Q$2:$Q$107,0))&amp;"","")</f>
        <v/>
      </c>
      <c r="F18" s="9">
        <f>IFERROR(INDEX('All products'!$F$2:$F$107,MATCH(13,'All products'!$Q$2:$Q$107,0))&amp;"","")</f>
        <v/>
      </c>
      <c r="G18" s="9">
        <f>IFERROR(INDEX('All products'!$G$2:$G$107,MATCH(13,'All products'!$Q$2:$Q$107,0))&amp;"","")</f>
        <v/>
      </c>
      <c r="H18" s="9">
        <f>IFERROR(INDEX('All products'!$H$2:$H$107,MATCH(13,'All products'!$Q$2:$Q$107,0))&amp;"","")</f>
        <v/>
      </c>
      <c r="I18" s="9">
        <f>IFERROR(INDEX('All products'!$I$2:$I$107,MATCH(13,'All products'!$Q$2:$Q$107,0))&amp;"","")</f>
        <v/>
      </c>
      <c r="J18" s="9">
        <f>IFERROR(INDEX('All products'!$J$2:$J$107,MATCH(13,'All products'!$Q$2:$Q$107,0))&amp;"","")</f>
        <v/>
      </c>
      <c r="K18" s="9">
        <f>IFERROR(INDEX('All products'!$K$2:$K$107,MATCH(13,'All products'!$Q$2:$Q$107,0))&amp;"","")</f>
        <v/>
      </c>
      <c r="L18" s="9">
        <f>IFERROR(INDEX('All products'!$L$2:$L$107,MATCH(13,'All products'!$Q$2:$Q$107,0))&amp;"","")</f>
        <v/>
      </c>
      <c r="M18" s="9">
        <f>IFERROR(INDEX('All products'!$M$2:$M$107,MATCH(13,'All products'!$Q$2:$Q$107,0))&amp;"","")</f>
        <v/>
      </c>
      <c r="N18" s="9">
        <f>IFERROR(INDEX('All products'!$N$2:$N$107,MATCH(13,'All products'!$Q$2:$Q$107,0))&amp;"","")</f>
        <v/>
      </c>
      <c r="O18" s="9">
        <f>IFERROR(HYPERLINK(INDEX('All products'!$O$2:$O$107,MATCH(13,'All products'!$Q$2:$Q$107,0))),"")</f>
        <v/>
      </c>
    </row>
    <row r="19" ht="15" customHeight="1" s="10">
      <c r="A19" s="9">
        <f>IFERROR(INDEX('All products'!$A$2:$A$107,MATCH(14,'All products'!$Q$2:$Q$107,0))&amp;"","")</f>
        <v/>
      </c>
      <c r="B19" s="9">
        <f>IFERROR(INDEX('All products'!$B$2:$B$107,MATCH(14,'All products'!$Q$2:$Q$107,0))&amp;"","")</f>
        <v/>
      </c>
      <c r="C19" s="9">
        <f>IFERROR(INDEX('All products'!$C$2:$C$107,MATCH(14,'All products'!$Q$2:$Q$107,0))&amp;"","")</f>
        <v/>
      </c>
      <c r="D19" s="9">
        <f>IFERROR(INDEX('All products'!$D$2:$D$107,MATCH(14,'All products'!$Q$2:$Q$107,0))&amp;"","")</f>
        <v/>
      </c>
      <c r="E19" s="9">
        <f>IFERROR(INDEX('All products'!$E$2:$E$107,MATCH(14,'All products'!$Q$2:$Q$107,0))&amp;"","")</f>
        <v/>
      </c>
      <c r="F19" s="9">
        <f>IFERROR(INDEX('All products'!$F$2:$F$107,MATCH(14,'All products'!$Q$2:$Q$107,0))&amp;"","")</f>
        <v/>
      </c>
      <c r="G19" s="9">
        <f>IFERROR(INDEX('All products'!$G$2:$G$107,MATCH(14,'All products'!$Q$2:$Q$107,0))&amp;"","")</f>
        <v/>
      </c>
      <c r="H19" s="9">
        <f>IFERROR(INDEX('All products'!$H$2:$H$107,MATCH(14,'All products'!$Q$2:$Q$107,0))&amp;"","")</f>
        <v/>
      </c>
      <c r="I19" s="9">
        <f>IFERROR(INDEX('All products'!$I$2:$I$107,MATCH(14,'All products'!$Q$2:$Q$107,0))&amp;"","")</f>
        <v/>
      </c>
      <c r="J19" s="9">
        <f>IFERROR(INDEX('All products'!$J$2:$J$107,MATCH(14,'All products'!$Q$2:$Q$107,0))&amp;"","")</f>
        <v/>
      </c>
      <c r="K19" s="9">
        <f>IFERROR(INDEX('All products'!$K$2:$K$107,MATCH(14,'All products'!$Q$2:$Q$107,0))&amp;"","")</f>
        <v/>
      </c>
      <c r="L19" s="9">
        <f>IFERROR(INDEX('All products'!$L$2:$L$107,MATCH(14,'All products'!$Q$2:$Q$107,0))&amp;"","")</f>
        <v/>
      </c>
      <c r="M19" s="9">
        <f>IFERROR(INDEX('All products'!$M$2:$M$107,MATCH(14,'All products'!$Q$2:$Q$107,0))&amp;"","")</f>
        <v/>
      </c>
      <c r="N19" s="9">
        <f>IFERROR(INDEX('All products'!$N$2:$N$107,MATCH(14,'All products'!$Q$2:$Q$107,0))&amp;"","")</f>
        <v/>
      </c>
      <c r="O19" s="9">
        <f>IFERROR(HYPERLINK(INDEX('All products'!$O$2:$O$107,MATCH(14,'All products'!$Q$2:$Q$107,0))),"")</f>
        <v/>
      </c>
    </row>
    <row r="20" ht="15" customHeight="1" s="10">
      <c r="A20" s="9">
        <f>IFERROR(INDEX('All products'!$A$2:$A$107,MATCH(15,'All products'!$Q$2:$Q$107,0))&amp;"","")</f>
        <v/>
      </c>
      <c r="B20" s="9">
        <f>IFERROR(INDEX('All products'!$B$2:$B$107,MATCH(15,'All products'!$Q$2:$Q$107,0))&amp;"","")</f>
        <v/>
      </c>
      <c r="C20" s="9">
        <f>IFERROR(INDEX('All products'!$C$2:$C$107,MATCH(15,'All products'!$Q$2:$Q$107,0))&amp;"","")</f>
        <v/>
      </c>
      <c r="D20" s="9">
        <f>IFERROR(INDEX('All products'!$D$2:$D$107,MATCH(15,'All products'!$Q$2:$Q$107,0))&amp;"","")</f>
        <v/>
      </c>
      <c r="E20" s="9">
        <f>IFERROR(INDEX('All products'!$E$2:$E$107,MATCH(15,'All products'!$Q$2:$Q$107,0))&amp;"","")</f>
        <v/>
      </c>
      <c r="F20" s="9">
        <f>IFERROR(INDEX('All products'!$F$2:$F$107,MATCH(15,'All products'!$Q$2:$Q$107,0))&amp;"","")</f>
        <v/>
      </c>
      <c r="G20" s="9">
        <f>IFERROR(INDEX('All products'!$G$2:$G$107,MATCH(15,'All products'!$Q$2:$Q$107,0))&amp;"","")</f>
        <v/>
      </c>
      <c r="H20" s="9">
        <f>IFERROR(INDEX('All products'!$H$2:$H$107,MATCH(15,'All products'!$Q$2:$Q$107,0))&amp;"","")</f>
        <v/>
      </c>
      <c r="I20" s="9">
        <f>IFERROR(INDEX('All products'!$I$2:$I$107,MATCH(15,'All products'!$Q$2:$Q$107,0))&amp;"","")</f>
        <v/>
      </c>
      <c r="J20" s="9">
        <f>IFERROR(INDEX('All products'!$J$2:$J$107,MATCH(15,'All products'!$Q$2:$Q$107,0))&amp;"","")</f>
        <v/>
      </c>
      <c r="K20" s="9">
        <f>IFERROR(INDEX('All products'!$K$2:$K$107,MATCH(15,'All products'!$Q$2:$Q$107,0))&amp;"","")</f>
        <v/>
      </c>
      <c r="L20" s="9">
        <f>IFERROR(INDEX('All products'!$L$2:$L$107,MATCH(15,'All products'!$Q$2:$Q$107,0))&amp;"","")</f>
        <v/>
      </c>
      <c r="M20" s="9">
        <f>IFERROR(INDEX('All products'!$M$2:$M$107,MATCH(15,'All products'!$Q$2:$Q$107,0))&amp;"","")</f>
        <v/>
      </c>
      <c r="N20" s="9">
        <f>IFERROR(INDEX('All products'!$N$2:$N$107,MATCH(15,'All products'!$Q$2:$Q$107,0))&amp;"","")</f>
        <v/>
      </c>
      <c r="O20" s="9">
        <f>IFERROR(HYPERLINK(INDEX('All products'!$O$2:$O$107,MATCH(15,'All products'!$Q$2:$Q$107,0))),"")</f>
        <v/>
      </c>
    </row>
    <row r="21" ht="15" customHeight="1" s="10">
      <c r="A21" s="9">
        <f>IFERROR(INDEX('All products'!$A$2:$A$107,MATCH(16,'All products'!$Q$2:$Q$107,0))&amp;"","")</f>
        <v/>
      </c>
      <c r="B21" s="9">
        <f>IFERROR(INDEX('All products'!$B$2:$B$107,MATCH(16,'All products'!$Q$2:$Q$107,0))&amp;"","")</f>
        <v/>
      </c>
      <c r="C21" s="9">
        <f>IFERROR(INDEX('All products'!$C$2:$C$107,MATCH(16,'All products'!$Q$2:$Q$107,0))&amp;"","")</f>
        <v/>
      </c>
      <c r="D21" s="9">
        <f>IFERROR(INDEX('All products'!$D$2:$D$107,MATCH(16,'All products'!$Q$2:$Q$107,0))&amp;"","")</f>
        <v/>
      </c>
      <c r="E21" s="9">
        <f>IFERROR(INDEX('All products'!$E$2:$E$107,MATCH(16,'All products'!$Q$2:$Q$107,0))&amp;"","")</f>
        <v/>
      </c>
      <c r="F21" s="9">
        <f>IFERROR(INDEX('All products'!$F$2:$F$107,MATCH(16,'All products'!$Q$2:$Q$107,0))&amp;"","")</f>
        <v/>
      </c>
      <c r="G21" s="9">
        <f>IFERROR(INDEX('All products'!$G$2:$G$107,MATCH(16,'All products'!$Q$2:$Q$107,0))&amp;"","")</f>
        <v/>
      </c>
      <c r="H21" s="9">
        <f>IFERROR(INDEX('All products'!$H$2:$H$107,MATCH(16,'All products'!$Q$2:$Q$107,0))&amp;"","")</f>
        <v/>
      </c>
      <c r="I21" s="9">
        <f>IFERROR(INDEX('All products'!$I$2:$I$107,MATCH(16,'All products'!$Q$2:$Q$107,0))&amp;"","")</f>
        <v/>
      </c>
      <c r="J21" s="9">
        <f>IFERROR(INDEX('All products'!$J$2:$J$107,MATCH(16,'All products'!$Q$2:$Q$107,0))&amp;"","")</f>
        <v/>
      </c>
      <c r="K21" s="9">
        <f>IFERROR(INDEX('All products'!$K$2:$K$107,MATCH(16,'All products'!$Q$2:$Q$107,0))&amp;"","")</f>
        <v/>
      </c>
      <c r="L21" s="9">
        <f>IFERROR(INDEX('All products'!$L$2:$L$107,MATCH(16,'All products'!$Q$2:$Q$107,0))&amp;"","")</f>
        <v/>
      </c>
      <c r="M21" s="9">
        <f>IFERROR(INDEX('All products'!$M$2:$M$107,MATCH(16,'All products'!$Q$2:$Q$107,0))&amp;"","")</f>
        <v/>
      </c>
      <c r="N21" s="9">
        <f>IFERROR(INDEX('All products'!$N$2:$N$107,MATCH(16,'All products'!$Q$2:$Q$107,0))&amp;"","")</f>
        <v/>
      </c>
      <c r="O21" s="9">
        <f>IFERROR(HYPERLINK(INDEX('All products'!$O$2:$O$107,MATCH(16,'All products'!$Q$2:$Q$107,0))),"")</f>
        <v/>
      </c>
    </row>
    <row r="22" ht="15" customHeight="1" s="10">
      <c r="A22" s="9">
        <f>IFERROR(INDEX('All products'!$A$2:$A$107,MATCH(17,'All products'!$Q$2:$Q$107,0))&amp;"","")</f>
        <v/>
      </c>
      <c r="B22" s="9">
        <f>IFERROR(INDEX('All products'!$B$2:$B$107,MATCH(17,'All products'!$Q$2:$Q$107,0))&amp;"","")</f>
        <v/>
      </c>
      <c r="C22" s="9">
        <f>IFERROR(INDEX('All products'!$C$2:$C$107,MATCH(17,'All products'!$Q$2:$Q$107,0))&amp;"","")</f>
        <v/>
      </c>
      <c r="D22" s="9">
        <f>IFERROR(INDEX('All products'!$D$2:$D$107,MATCH(17,'All products'!$Q$2:$Q$107,0))&amp;"","")</f>
        <v/>
      </c>
      <c r="E22" s="9">
        <f>IFERROR(INDEX('All products'!$E$2:$E$107,MATCH(17,'All products'!$Q$2:$Q$107,0))&amp;"","")</f>
        <v/>
      </c>
      <c r="F22" s="9">
        <f>IFERROR(INDEX('All products'!$F$2:$F$107,MATCH(17,'All products'!$Q$2:$Q$107,0))&amp;"","")</f>
        <v/>
      </c>
      <c r="G22" s="9">
        <f>IFERROR(INDEX('All products'!$G$2:$G$107,MATCH(17,'All products'!$Q$2:$Q$107,0))&amp;"","")</f>
        <v/>
      </c>
      <c r="H22" s="9">
        <f>IFERROR(INDEX('All products'!$H$2:$H$107,MATCH(17,'All products'!$Q$2:$Q$107,0))&amp;"","")</f>
        <v/>
      </c>
      <c r="I22" s="9">
        <f>IFERROR(INDEX('All products'!$I$2:$I$107,MATCH(17,'All products'!$Q$2:$Q$107,0))&amp;"","")</f>
        <v/>
      </c>
      <c r="J22" s="9">
        <f>IFERROR(INDEX('All products'!$J$2:$J$107,MATCH(17,'All products'!$Q$2:$Q$107,0))&amp;"","")</f>
        <v/>
      </c>
      <c r="K22" s="9">
        <f>IFERROR(INDEX('All products'!$K$2:$K$107,MATCH(17,'All products'!$Q$2:$Q$107,0))&amp;"","")</f>
        <v/>
      </c>
      <c r="L22" s="9">
        <f>IFERROR(INDEX('All products'!$L$2:$L$107,MATCH(17,'All products'!$Q$2:$Q$107,0))&amp;"","")</f>
        <v/>
      </c>
      <c r="M22" s="9">
        <f>IFERROR(INDEX('All products'!$M$2:$M$107,MATCH(17,'All products'!$Q$2:$Q$107,0))&amp;"","")</f>
        <v/>
      </c>
      <c r="N22" s="9">
        <f>IFERROR(INDEX('All products'!$N$2:$N$107,MATCH(17,'All products'!$Q$2:$Q$107,0))&amp;"","")</f>
        <v/>
      </c>
      <c r="O22" s="9">
        <f>IFERROR(HYPERLINK(INDEX('All products'!$O$2:$O$107,MATCH(17,'All products'!$Q$2:$Q$107,0))),"")</f>
        <v/>
      </c>
    </row>
    <row r="23" ht="15" customHeight="1" s="10">
      <c r="A23" s="9">
        <f>IFERROR(INDEX('All products'!$A$2:$A$107,MATCH(18,'All products'!$Q$2:$Q$107,0))&amp;"","")</f>
        <v/>
      </c>
      <c r="B23" s="9">
        <f>IFERROR(INDEX('All products'!$B$2:$B$107,MATCH(18,'All products'!$Q$2:$Q$107,0))&amp;"","")</f>
        <v/>
      </c>
      <c r="C23" s="9">
        <f>IFERROR(INDEX('All products'!$C$2:$C$107,MATCH(18,'All products'!$Q$2:$Q$107,0))&amp;"","")</f>
        <v/>
      </c>
      <c r="D23" s="9">
        <f>IFERROR(INDEX('All products'!$D$2:$D$107,MATCH(18,'All products'!$Q$2:$Q$107,0))&amp;"","")</f>
        <v/>
      </c>
      <c r="E23" s="9">
        <f>IFERROR(INDEX('All products'!$E$2:$E$107,MATCH(18,'All products'!$Q$2:$Q$107,0))&amp;"","")</f>
        <v/>
      </c>
      <c r="F23" s="9">
        <f>IFERROR(INDEX('All products'!$F$2:$F$107,MATCH(18,'All products'!$Q$2:$Q$107,0))&amp;"","")</f>
        <v/>
      </c>
      <c r="G23" s="9">
        <f>IFERROR(INDEX('All products'!$G$2:$G$107,MATCH(18,'All products'!$Q$2:$Q$107,0))&amp;"","")</f>
        <v/>
      </c>
      <c r="H23" s="9">
        <f>IFERROR(INDEX('All products'!$H$2:$H$107,MATCH(18,'All products'!$Q$2:$Q$107,0))&amp;"","")</f>
        <v/>
      </c>
      <c r="I23" s="9">
        <f>IFERROR(INDEX('All products'!$I$2:$I$107,MATCH(18,'All products'!$Q$2:$Q$107,0))&amp;"","")</f>
        <v/>
      </c>
      <c r="J23" s="9">
        <f>IFERROR(INDEX('All products'!$J$2:$J$107,MATCH(18,'All products'!$Q$2:$Q$107,0))&amp;"","")</f>
        <v/>
      </c>
      <c r="K23" s="9">
        <f>IFERROR(INDEX('All products'!$K$2:$K$107,MATCH(18,'All products'!$Q$2:$Q$107,0))&amp;"","")</f>
        <v/>
      </c>
      <c r="L23" s="9">
        <f>IFERROR(INDEX('All products'!$L$2:$L$107,MATCH(18,'All products'!$Q$2:$Q$107,0))&amp;"","")</f>
        <v/>
      </c>
      <c r="M23" s="9">
        <f>IFERROR(INDEX('All products'!$M$2:$M$107,MATCH(18,'All products'!$Q$2:$Q$107,0))&amp;"","")</f>
        <v/>
      </c>
      <c r="N23" s="9">
        <f>IFERROR(INDEX('All products'!$N$2:$N$107,MATCH(18,'All products'!$Q$2:$Q$107,0))&amp;"","")</f>
        <v/>
      </c>
      <c r="O23" s="9">
        <f>IFERROR(HYPERLINK(INDEX('All products'!$O$2:$O$107,MATCH(18,'All products'!$Q$2:$Q$107,0))),"")</f>
        <v/>
      </c>
    </row>
    <row r="24" ht="15" customHeight="1" s="10">
      <c r="A24" s="9">
        <f>IFERROR(INDEX('All products'!$A$2:$A$107,MATCH(19,'All products'!$Q$2:$Q$107,0))&amp;"","")</f>
        <v/>
      </c>
      <c r="B24" s="9">
        <f>IFERROR(INDEX('All products'!$B$2:$B$107,MATCH(19,'All products'!$Q$2:$Q$107,0))&amp;"","")</f>
        <v/>
      </c>
      <c r="C24" s="9">
        <f>IFERROR(INDEX('All products'!$C$2:$C$107,MATCH(19,'All products'!$Q$2:$Q$107,0))&amp;"","")</f>
        <v/>
      </c>
      <c r="D24" s="9">
        <f>IFERROR(INDEX('All products'!$D$2:$D$107,MATCH(19,'All products'!$Q$2:$Q$107,0))&amp;"","")</f>
        <v/>
      </c>
      <c r="E24" s="9">
        <f>IFERROR(INDEX('All products'!$E$2:$E$107,MATCH(19,'All products'!$Q$2:$Q$107,0))&amp;"","")</f>
        <v/>
      </c>
      <c r="F24" s="9">
        <f>IFERROR(INDEX('All products'!$F$2:$F$107,MATCH(19,'All products'!$Q$2:$Q$107,0))&amp;"","")</f>
        <v/>
      </c>
      <c r="G24" s="9">
        <f>IFERROR(INDEX('All products'!$G$2:$G$107,MATCH(19,'All products'!$Q$2:$Q$107,0))&amp;"","")</f>
        <v/>
      </c>
      <c r="H24" s="9">
        <f>IFERROR(INDEX('All products'!$H$2:$H$107,MATCH(19,'All products'!$Q$2:$Q$107,0))&amp;"","")</f>
        <v/>
      </c>
      <c r="I24" s="9">
        <f>IFERROR(INDEX('All products'!$I$2:$I$107,MATCH(19,'All products'!$Q$2:$Q$107,0))&amp;"","")</f>
        <v/>
      </c>
      <c r="J24" s="9">
        <f>IFERROR(INDEX('All products'!$J$2:$J$107,MATCH(19,'All products'!$Q$2:$Q$107,0))&amp;"","")</f>
        <v/>
      </c>
      <c r="K24" s="9">
        <f>IFERROR(INDEX('All products'!$K$2:$K$107,MATCH(19,'All products'!$Q$2:$Q$107,0))&amp;"","")</f>
        <v/>
      </c>
      <c r="L24" s="9">
        <f>IFERROR(INDEX('All products'!$L$2:$L$107,MATCH(19,'All products'!$Q$2:$Q$107,0))&amp;"","")</f>
        <v/>
      </c>
      <c r="M24" s="9">
        <f>IFERROR(INDEX('All products'!$M$2:$M$107,MATCH(19,'All products'!$Q$2:$Q$107,0))&amp;"","")</f>
        <v/>
      </c>
      <c r="N24" s="9">
        <f>IFERROR(INDEX('All products'!$N$2:$N$107,MATCH(19,'All products'!$Q$2:$Q$107,0))&amp;"","")</f>
        <v/>
      </c>
      <c r="O24" s="9">
        <f>IFERROR(HYPERLINK(INDEX('All products'!$O$2:$O$107,MATCH(19,'All products'!$Q$2:$Q$107,0))),"")</f>
        <v/>
      </c>
    </row>
    <row r="25" ht="15" customHeight="1" s="10">
      <c r="A25" s="9">
        <f>IFERROR(INDEX('All products'!$A$2:$A$107,MATCH(20,'All products'!$Q$2:$Q$107,0))&amp;"","")</f>
        <v/>
      </c>
      <c r="B25" s="9">
        <f>IFERROR(INDEX('All products'!$B$2:$B$107,MATCH(20,'All products'!$Q$2:$Q$107,0))&amp;"","")</f>
        <v/>
      </c>
      <c r="C25" s="9">
        <f>IFERROR(INDEX('All products'!$C$2:$C$107,MATCH(20,'All products'!$Q$2:$Q$107,0))&amp;"","")</f>
        <v/>
      </c>
      <c r="D25" s="9">
        <f>IFERROR(INDEX('All products'!$D$2:$D$107,MATCH(20,'All products'!$Q$2:$Q$107,0))&amp;"","")</f>
        <v/>
      </c>
      <c r="E25" s="9">
        <f>IFERROR(INDEX('All products'!$E$2:$E$107,MATCH(20,'All products'!$Q$2:$Q$107,0))&amp;"","")</f>
        <v/>
      </c>
      <c r="F25" s="9">
        <f>IFERROR(INDEX('All products'!$F$2:$F$107,MATCH(20,'All products'!$Q$2:$Q$107,0))&amp;"","")</f>
        <v/>
      </c>
      <c r="G25" s="9">
        <f>IFERROR(INDEX('All products'!$G$2:$G$107,MATCH(20,'All products'!$Q$2:$Q$107,0))&amp;"","")</f>
        <v/>
      </c>
      <c r="H25" s="9">
        <f>IFERROR(INDEX('All products'!$H$2:$H$107,MATCH(20,'All products'!$Q$2:$Q$107,0))&amp;"","")</f>
        <v/>
      </c>
      <c r="I25" s="9">
        <f>IFERROR(INDEX('All products'!$I$2:$I$107,MATCH(20,'All products'!$Q$2:$Q$107,0))&amp;"","")</f>
        <v/>
      </c>
      <c r="J25" s="9">
        <f>IFERROR(INDEX('All products'!$J$2:$J$107,MATCH(20,'All products'!$Q$2:$Q$107,0))&amp;"","")</f>
        <v/>
      </c>
      <c r="K25" s="9">
        <f>IFERROR(INDEX('All products'!$K$2:$K$107,MATCH(20,'All products'!$Q$2:$Q$107,0))&amp;"","")</f>
        <v/>
      </c>
      <c r="L25" s="9">
        <f>IFERROR(INDEX('All products'!$L$2:$L$107,MATCH(20,'All products'!$Q$2:$Q$107,0))&amp;"","")</f>
        <v/>
      </c>
      <c r="M25" s="9">
        <f>IFERROR(INDEX('All products'!$M$2:$M$107,MATCH(20,'All products'!$Q$2:$Q$107,0))&amp;"","")</f>
        <v/>
      </c>
      <c r="N25" s="9">
        <f>IFERROR(INDEX('All products'!$N$2:$N$107,MATCH(20,'All products'!$Q$2:$Q$107,0))&amp;"","")</f>
        <v/>
      </c>
      <c r="O25" s="9">
        <f>IFERROR(HYPERLINK(INDEX('All products'!$O$2:$O$107,MATCH(20,'All products'!$Q$2:$Q$107,0))),"")</f>
        <v/>
      </c>
    </row>
    <row r="26" ht="15" customHeight="1" s="10">
      <c r="A26" s="9">
        <f>IFERROR(INDEX('All products'!$A$2:$A$107,MATCH(21,'All products'!$Q$2:$Q$107,0))&amp;"","")</f>
        <v/>
      </c>
      <c r="B26" s="9">
        <f>IFERROR(INDEX('All products'!$B$2:$B$107,MATCH(21,'All products'!$Q$2:$Q$107,0))&amp;"","")</f>
        <v/>
      </c>
      <c r="C26" s="9">
        <f>IFERROR(INDEX('All products'!$C$2:$C$107,MATCH(21,'All products'!$Q$2:$Q$107,0))&amp;"","")</f>
        <v/>
      </c>
      <c r="D26" s="9">
        <f>IFERROR(INDEX('All products'!$D$2:$D$107,MATCH(21,'All products'!$Q$2:$Q$107,0))&amp;"","")</f>
        <v/>
      </c>
      <c r="E26" s="9">
        <f>IFERROR(INDEX('All products'!$E$2:$E$107,MATCH(21,'All products'!$Q$2:$Q$107,0))&amp;"","")</f>
        <v/>
      </c>
      <c r="F26" s="9">
        <f>IFERROR(INDEX('All products'!$F$2:$F$107,MATCH(21,'All products'!$Q$2:$Q$107,0))&amp;"","")</f>
        <v/>
      </c>
      <c r="G26" s="9">
        <f>IFERROR(INDEX('All products'!$G$2:$G$107,MATCH(21,'All products'!$Q$2:$Q$107,0))&amp;"","")</f>
        <v/>
      </c>
      <c r="H26" s="9">
        <f>IFERROR(INDEX('All products'!$H$2:$H$107,MATCH(21,'All products'!$Q$2:$Q$107,0))&amp;"","")</f>
        <v/>
      </c>
      <c r="I26" s="9">
        <f>IFERROR(INDEX('All products'!$I$2:$I$107,MATCH(21,'All products'!$Q$2:$Q$107,0))&amp;"","")</f>
        <v/>
      </c>
      <c r="J26" s="9">
        <f>IFERROR(INDEX('All products'!$J$2:$J$107,MATCH(21,'All products'!$Q$2:$Q$107,0))&amp;"","")</f>
        <v/>
      </c>
      <c r="K26" s="9">
        <f>IFERROR(INDEX('All products'!$K$2:$K$107,MATCH(21,'All products'!$Q$2:$Q$107,0))&amp;"","")</f>
        <v/>
      </c>
      <c r="L26" s="9">
        <f>IFERROR(INDEX('All products'!$L$2:$L$107,MATCH(21,'All products'!$Q$2:$Q$107,0))&amp;"","")</f>
        <v/>
      </c>
      <c r="M26" s="9">
        <f>IFERROR(INDEX('All products'!$M$2:$M$107,MATCH(21,'All products'!$Q$2:$Q$107,0))&amp;"","")</f>
        <v/>
      </c>
      <c r="N26" s="9">
        <f>IFERROR(INDEX('All products'!$N$2:$N$107,MATCH(21,'All products'!$Q$2:$Q$107,0))&amp;"","")</f>
        <v/>
      </c>
      <c r="O26" s="9">
        <f>IFERROR(HYPERLINK(INDEX('All products'!$O$2:$O$107,MATCH(21,'All products'!$Q$2:$Q$107,0))),"")</f>
        <v/>
      </c>
    </row>
    <row r="27" ht="15" customHeight="1" s="10">
      <c r="A27" s="9">
        <f>IFERROR(INDEX('All products'!$A$2:$A$107,MATCH(22,'All products'!$Q$2:$Q$107,0))&amp;"","")</f>
        <v/>
      </c>
      <c r="B27" s="9">
        <f>IFERROR(INDEX('All products'!$B$2:$B$107,MATCH(22,'All products'!$Q$2:$Q$107,0))&amp;"","")</f>
        <v/>
      </c>
      <c r="C27" s="9">
        <f>IFERROR(INDEX('All products'!$C$2:$C$107,MATCH(22,'All products'!$Q$2:$Q$107,0))&amp;"","")</f>
        <v/>
      </c>
      <c r="D27" s="9">
        <f>IFERROR(INDEX('All products'!$D$2:$D$107,MATCH(22,'All products'!$Q$2:$Q$107,0))&amp;"","")</f>
        <v/>
      </c>
      <c r="E27" s="9">
        <f>IFERROR(INDEX('All products'!$E$2:$E$107,MATCH(22,'All products'!$Q$2:$Q$107,0))&amp;"","")</f>
        <v/>
      </c>
      <c r="F27" s="9">
        <f>IFERROR(INDEX('All products'!$F$2:$F$107,MATCH(22,'All products'!$Q$2:$Q$107,0))&amp;"","")</f>
        <v/>
      </c>
      <c r="G27" s="9">
        <f>IFERROR(INDEX('All products'!$G$2:$G$107,MATCH(22,'All products'!$Q$2:$Q$107,0))&amp;"","")</f>
        <v/>
      </c>
      <c r="H27" s="9">
        <f>IFERROR(INDEX('All products'!$H$2:$H$107,MATCH(22,'All products'!$Q$2:$Q$107,0))&amp;"","")</f>
        <v/>
      </c>
      <c r="I27" s="9">
        <f>IFERROR(INDEX('All products'!$I$2:$I$107,MATCH(22,'All products'!$Q$2:$Q$107,0))&amp;"","")</f>
        <v/>
      </c>
      <c r="J27" s="9">
        <f>IFERROR(INDEX('All products'!$J$2:$J$107,MATCH(22,'All products'!$Q$2:$Q$107,0))&amp;"","")</f>
        <v/>
      </c>
      <c r="K27" s="9">
        <f>IFERROR(INDEX('All products'!$K$2:$K$107,MATCH(22,'All products'!$Q$2:$Q$107,0))&amp;"","")</f>
        <v/>
      </c>
      <c r="L27" s="9">
        <f>IFERROR(INDEX('All products'!$L$2:$L$107,MATCH(22,'All products'!$Q$2:$Q$107,0))&amp;"","")</f>
        <v/>
      </c>
      <c r="M27" s="9">
        <f>IFERROR(INDEX('All products'!$M$2:$M$107,MATCH(22,'All products'!$Q$2:$Q$107,0))&amp;"","")</f>
        <v/>
      </c>
      <c r="N27" s="9">
        <f>IFERROR(INDEX('All products'!$N$2:$N$107,MATCH(22,'All products'!$Q$2:$Q$107,0))&amp;"","")</f>
        <v/>
      </c>
      <c r="O27" s="9">
        <f>IFERROR(HYPERLINK(INDEX('All products'!$O$2:$O$107,MATCH(22,'All products'!$Q$2:$Q$107,0))),"")</f>
        <v/>
      </c>
    </row>
    <row r="28" ht="15" customHeight="1" s="10">
      <c r="A28" s="9">
        <f>IFERROR(INDEX('All products'!$A$2:$A$107,MATCH(23,'All products'!$Q$2:$Q$107,0))&amp;"","")</f>
        <v/>
      </c>
      <c r="B28" s="9">
        <f>IFERROR(INDEX('All products'!$B$2:$B$107,MATCH(23,'All products'!$Q$2:$Q$107,0))&amp;"","")</f>
        <v/>
      </c>
      <c r="C28" s="9">
        <f>IFERROR(INDEX('All products'!$C$2:$C$107,MATCH(23,'All products'!$Q$2:$Q$107,0))&amp;"","")</f>
        <v/>
      </c>
      <c r="D28" s="9">
        <f>IFERROR(INDEX('All products'!$D$2:$D$107,MATCH(23,'All products'!$Q$2:$Q$107,0))&amp;"","")</f>
        <v/>
      </c>
      <c r="E28" s="9">
        <f>IFERROR(INDEX('All products'!$E$2:$E$107,MATCH(23,'All products'!$Q$2:$Q$107,0))&amp;"","")</f>
        <v/>
      </c>
      <c r="F28" s="9">
        <f>IFERROR(INDEX('All products'!$F$2:$F$107,MATCH(23,'All products'!$Q$2:$Q$107,0))&amp;"","")</f>
        <v/>
      </c>
      <c r="G28" s="9">
        <f>IFERROR(INDEX('All products'!$G$2:$G$107,MATCH(23,'All products'!$Q$2:$Q$107,0))&amp;"","")</f>
        <v/>
      </c>
      <c r="H28" s="9">
        <f>IFERROR(INDEX('All products'!$H$2:$H$107,MATCH(23,'All products'!$Q$2:$Q$107,0))&amp;"","")</f>
        <v/>
      </c>
      <c r="I28" s="9">
        <f>IFERROR(INDEX('All products'!$I$2:$I$107,MATCH(23,'All products'!$Q$2:$Q$107,0))&amp;"","")</f>
        <v/>
      </c>
      <c r="J28" s="9">
        <f>IFERROR(INDEX('All products'!$J$2:$J$107,MATCH(23,'All products'!$Q$2:$Q$107,0))&amp;"","")</f>
        <v/>
      </c>
      <c r="K28" s="9">
        <f>IFERROR(INDEX('All products'!$K$2:$K$107,MATCH(23,'All products'!$Q$2:$Q$107,0))&amp;"","")</f>
        <v/>
      </c>
      <c r="L28" s="9">
        <f>IFERROR(INDEX('All products'!$L$2:$L$107,MATCH(23,'All products'!$Q$2:$Q$107,0))&amp;"","")</f>
        <v/>
      </c>
      <c r="M28" s="9">
        <f>IFERROR(INDEX('All products'!$M$2:$M$107,MATCH(23,'All products'!$Q$2:$Q$107,0))&amp;"","")</f>
        <v/>
      </c>
      <c r="N28" s="9">
        <f>IFERROR(INDEX('All products'!$N$2:$N$107,MATCH(23,'All products'!$Q$2:$Q$107,0))&amp;"","")</f>
        <v/>
      </c>
      <c r="O28" s="9">
        <f>IFERROR(HYPERLINK(INDEX('All products'!$O$2:$O$107,MATCH(23,'All products'!$Q$2:$Q$107,0))),"")</f>
        <v/>
      </c>
    </row>
    <row r="29" ht="15" customHeight="1" s="10">
      <c r="A29" s="9">
        <f>IFERROR(INDEX('All products'!$A$2:$A$107,MATCH(24,'All products'!$Q$2:$Q$107,0))&amp;"","")</f>
        <v/>
      </c>
      <c r="B29" s="9">
        <f>IFERROR(INDEX('All products'!$B$2:$B$107,MATCH(24,'All products'!$Q$2:$Q$107,0))&amp;"","")</f>
        <v/>
      </c>
      <c r="C29" s="9">
        <f>IFERROR(INDEX('All products'!$C$2:$C$107,MATCH(24,'All products'!$Q$2:$Q$107,0))&amp;"","")</f>
        <v/>
      </c>
      <c r="D29" s="9">
        <f>IFERROR(INDEX('All products'!$D$2:$D$107,MATCH(24,'All products'!$Q$2:$Q$107,0))&amp;"","")</f>
        <v/>
      </c>
      <c r="E29" s="9">
        <f>IFERROR(INDEX('All products'!$E$2:$E$107,MATCH(24,'All products'!$Q$2:$Q$107,0))&amp;"","")</f>
        <v/>
      </c>
      <c r="F29" s="9">
        <f>IFERROR(INDEX('All products'!$F$2:$F$107,MATCH(24,'All products'!$Q$2:$Q$107,0))&amp;"","")</f>
        <v/>
      </c>
      <c r="G29" s="9">
        <f>IFERROR(INDEX('All products'!$G$2:$G$107,MATCH(24,'All products'!$Q$2:$Q$107,0))&amp;"","")</f>
        <v/>
      </c>
      <c r="H29" s="9">
        <f>IFERROR(INDEX('All products'!$H$2:$H$107,MATCH(24,'All products'!$Q$2:$Q$107,0))&amp;"","")</f>
        <v/>
      </c>
      <c r="I29" s="9">
        <f>IFERROR(INDEX('All products'!$I$2:$I$107,MATCH(24,'All products'!$Q$2:$Q$107,0))&amp;"","")</f>
        <v/>
      </c>
      <c r="J29" s="9">
        <f>IFERROR(INDEX('All products'!$J$2:$J$107,MATCH(24,'All products'!$Q$2:$Q$107,0))&amp;"","")</f>
        <v/>
      </c>
      <c r="K29" s="9">
        <f>IFERROR(INDEX('All products'!$K$2:$K$107,MATCH(24,'All products'!$Q$2:$Q$107,0))&amp;"","")</f>
        <v/>
      </c>
      <c r="L29" s="9">
        <f>IFERROR(INDEX('All products'!$L$2:$L$107,MATCH(24,'All products'!$Q$2:$Q$107,0))&amp;"","")</f>
        <v/>
      </c>
      <c r="M29" s="9">
        <f>IFERROR(INDEX('All products'!$M$2:$M$107,MATCH(24,'All products'!$Q$2:$Q$107,0))&amp;"","")</f>
        <v/>
      </c>
      <c r="N29" s="9">
        <f>IFERROR(INDEX('All products'!$N$2:$N$107,MATCH(24,'All products'!$Q$2:$Q$107,0))&amp;"","")</f>
        <v/>
      </c>
      <c r="O29" s="9">
        <f>IFERROR(HYPERLINK(INDEX('All products'!$O$2:$O$107,MATCH(24,'All products'!$Q$2:$Q$107,0))),"")</f>
        <v/>
      </c>
    </row>
    <row r="30" ht="15" customHeight="1" s="10">
      <c r="A30" s="9">
        <f>IFERROR(INDEX('All products'!$A$2:$A$107,MATCH(25,'All products'!$Q$2:$Q$107,0))&amp;"","")</f>
        <v/>
      </c>
      <c r="B30" s="9">
        <f>IFERROR(INDEX('All products'!$B$2:$B$107,MATCH(25,'All products'!$Q$2:$Q$107,0))&amp;"","")</f>
        <v/>
      </c>
      <c r="C30" s="9">
        <f>IFERROR(INDEX('All products'!$C$2:$C$107,MATCH(25,'All products'!$Q$2:$Q$107,0))&amp;"","")</f>
        <v/>
      </c>
      <c r="D30" s="9">
        <f>IFERROR(INDEX('All products'!$D$2:$D$107,MATCH(25,'All products'!$Q$2:$Q$107,0))&amp;"","")</f>
        <v/>
      </c>
      <c r="E30" s="9">
        <f>IFERROR(INDEX('All products'!$E$2:$E$107,MATCH(25,'All products'!$Q$2:$Q$107,0))&amp;"","")</f>
        <v/>
      </c>
      <c r="F30" s="9">
        <f>IFERROR(INDEX('All products'!$F$2:$F$107,MATCH(25,'All products'!$Q$2:$Q$107,0))&amp;"","")</f>
        <v/>
      </c>
      <c r="G30" s="9">
        <f>IFERROR(INDEX('All products'!$G$2:$G$107,MATCH(25,'All products'!$Q$2:$Q$107,0))&amp;"","")</f>
        <v/>
      </c>
      <c r="H30" s="9">
        <f>IFERROR(INDEX('All products'!$H$2:$H$107,MATCH(25,'All products'!$Q$2:$Q$107,0))&amp;"","")</f>
        <v/>
      </c>
      <c r="I30" s="9">
        <f>IFERROR(INDEX('All products'!$I$2:$I$107,MATCH(25,'All products'!$Q$2:$Q$107,0))&amp;"","")</f>
        <v/>
      </c>
      <c r="J30" s="9">
        <f>IFERROR(INDEX('All products'!$J$2:$J$107,MATCH(25,'All products'!$Q$2:$Q$107,0))&amp;"","")</f>
        <v/>
      </c>
      <c r="K30" s="9">
        <f>IFERROR(INDEX('All products'!$K$2:$K$107,MATCH(25,'All products'!$Q$2:$Q$107,0))&amp;"","")</f>
        <v/>
      </c>
      <c r="L30" s="9">
        <f>IFERROR(INDEX('All products'!$L$2:$L$107,MATCH(25,'All products'!$Q$2:$Q$107,0))&amp;"","")</f>
        <v/>
      </c>
      <c r="M30" s="9">
        <f>IFERROR(INDEX('All products'!$M$2:$M$107,MATCH(25,'All products'!$Q$2:$Q$107,0))&amp;"","")</f>
        <v/>
      </c>
      <c r="N30" s="9">
        <f>IFERROR(INDEX('All products'!$N$2:$N$107,MATCH(25,'All products'!$Q$2:$Q$107,0))&amp;"","")</f>
        <v/>
      </c>
      <c r="O30" s="9">
        <f>IFERROR(HYPERLINK(INDEX('All products'!$O$2:$O$107,MATCH(25,'All products'!$Q$2:$Q$107,0))),"")</f>
        <v/>
      </c>
    </row>
    <row r="31" ht="15" customHeight="1" s="10">
      <c r="A31" s="9">
        <f>IFERROR(INDEX('All products'!$A$2:$A$107,MATCH(26,'All products'!$Q$2:$Q$107,0))&amp;"","")</f>
        <v/>
      </c>
      <c r="B31" s="9">
        <f>IFERROR(INDEX('All products'!$B$2:$B$107,MATCH(26,'All products'!$Q$2:$Q$107,0))&amp;"","")</f>
        <v/>
      </c>
      <c r="C31" s="9">
        <f>IFERROR(INDEX('All products'!$C$2:$C$107,MATCH(26,'All products'!$Q$2:$Q$107,0))&amp;"","")</f>
        <v/>
      </c>
      <c r="D31" s="9">
        <f>IFERROR(INDEX('All products'!$D$2:$D$107,MATCH(26,'All products'!$Q$2:$Q$107,0))&amp;"","")</f>
        <v/>
      </c>
      <c r="E31" s="9">
        <f>IFERROR(INDEX('All products'!$E$2:$E$107,MATCH(26,'All products'!$Q$2:$Q$107,0))&amp;"","")</f>
        <v/>
      </c>
      <c r="F31" s="9">
        <f>IFERROR(INDEX('All products'!$F$2:$F$107,MATCH(26,'All products'!$Q$2:$Q$107,0))&amp;"","")</f>
        <v/>
      </c>
      <c r="G31" s="9">
        <f>IFERROR(INDEX('All products'!$G$2:$G$107,MATCH(26,'All products'!$Q$2:$Q$107,0))&amp;"","")</f>
        <v/>
      </c>
      <c r="H31" s="9">
        <f>IFERROR(INDEX('All products'!$H$2:$H$107,MATCH(26,'All products'!$Q$2:$Q$107,0))&amp;"","")</f>
        <v/>
      </c>
      <c r="I31" s="9">
        <f>IFERROR(INDEX('All products'!$I$2:$I$107,MATCH(26,'All products'!$Q$2:$Q$107,0))&amp;"","")</f>
        <v/>
      </c>
      <c r="J31" s="9">
        <f>IFERROR(INDEX('All products'!$J$2:$J$107,MATCH(26,'All products'!$Q$2:$Q$107,0))&amp;"","")</f>
        <v/>
      </c>
      <c r="K31" s="9">
        <f>IFERROR(INDEX('All products'!$K$2:$K$107,MATCH(26,'All products'!$Q$2:$Q$107,0))&amp;"","")</f>
        <v/>
      </c>
      <c r="L31" s="9">
        <f>IFERROR(INDEX('All products'!$L$2:$L$107,MATCH(26,'All products'!$Q$2:$Q$107,0))&amp;"","")</f>
        <v/>
      </c>
      <c r="M31" s="9">
        <f>IFERROR(INDEX('All products'!$M$2:$M$107,MATCH(26,'All products'!$Q$2:$Q$107,0))&amp;"","")</f>
        <v/>
      </c>
      <c r="N31" s="9">
        <f>IFERROR(INDEX('All products'!$N$2:$N$107,MATCH(26,'All products'!$Q$2:$Q$107,0))&amp;"","")</f>
        <v/>
      </c>
      <c r="O31" s="9">
        <f>IFERROR(HYPERLINK(INDEX('All products'!$O$2:$O$107,MATCH(26,'All products'!$Q$2:$Q$107,0))),"")</f>
        <v/>
      </c>
    </row>
    <row r="32" ht="15" customHeight="1" s="10">
      <c r="A32" s="9">
        <f>IFERROR(INDEX('All products'!$A$2:$A$107,MATCH(27,'All products'!$Q$2:$Q$107,0))&amp;"","")</f>
        <v/>
      </c>
      <c r="B32" s="9">
        <f>IFERROR(INDEX('All products'!$B$2:$B$107,MATCH(27,'All products'!$Q$2:$Q$107,0))&amp;"","")</f>
        <v/>
      </c>
      <c r="C32" s="9">
        <f>IFERROR(INDEX('All products'!$C$2:$C$107,MATCH(27,'All products'!$Q$2:$Q$107,0))&amp;"","")</f>
        <v/>
      </c>
      <c r="D32" s="9">
        <f>IFERROR(INDEX('All products'!$D$2:$D$107,MATCH(27,'All products'!$Q$2:$Q$107,0))&amp;"","")</f>
        <v/>
      </c>
      <c r="E32" s="9">
        <f>IFERROR(INDEX('All products'!$E$2:$E$107,MATCH(27,'All products'!$Q$2:$Q$107,0))&amp;"","")</f>
        <v/>
      </c>
      <c r="F32" s="9">
        <f>IFERROR(INDEX('All products'!$F$2:$F$107,MATCH(27,'All products'!$Q$2:$Q$107,0))&amp;"","")</f>
        <v/>
      </c>
      <c r="G32" s="9">
        <f>IFERROR(INDEX('All products'!$G$2:$G$107,MATCH(27,'All products'!$Q$2:$Q$107,0))&amp;"","")</f>
        <v/>
      </c>
      <c r="H32" s="9">
        <f>IFERROR(INDEX('All products'!$H$2:$H$107,MATCH(27,'All products'!$Q$2:$Q$107,0))&amp;"","")</f>
        <v/>
      </c>
      <c r="I32" s="9">
        <f>IFERROR(INDEX('All products'!$I$2:$I$107,MATCH(27,'All products'!$Q$2:$Q$107,0))&amp;"","")</f>
        <v/>
      </c>
      <c r="J32" s="9">
        <f>IFERROR(INDEX('All products'!$J$2:$J$107,MATCH(27,'All products'!$Q$2:$Q$107,0))&amp;"","")</f>
        <v/>
      </c>
      <c r="K32" s="9">
        <f>IFERROR(INDEX('All products'!$K$2:$K$107,MATCH(27,'All products'!$Q$2:$Q$107,0))&amp;"","")</f>
        <v/>
      </c>
      <c r="L32" s="9">
        <f>IFERROR(INDEX('All products'!$L$2:$L$107,MATCH(27,'All products'!$Q$2:$Q$107,0))&amp;"","")</f>
        <v/>
      </c>
      <c r="M32" s="9">
        <f>IFERROR(INDEX('All products'!$M$2:$M$107,MATCH(27,'All products'!$Q$2:$Q$107,0))&amp;"","")</f>
        <v/>
      </c>
      <c r="N32" s="9">
        <f>IFERROR(INDEX('All products'!$N$2:$N$107,MATCH(27,'All products'!$Q$2:$Q$107,0))&amp;"","")</f>
        <v/>
      </c>
      <c r="O32" s="9">
        <f>IFERROR(HYPERLINK(INDEX('All products'!$O$2:$O$107,MATCH(27,'All products'!$Q$2:$Q$107,0))),"")</f>
        <v/>
      </c>
    </row>
    <row r="33" ht="15" customHeight="1" s="10">
      <c r="A33" s="9">
        <f>IFERROR(INDEX('All products'!$A$2:$A$107,MATCH(28,'All products'!$Q$2:$Q$107,0))&amp;"","")</f>
        <v/>
      </c>
      <c r="B33" s="9">
        <f>IFERROR(INDEX('All products'!$B$2:$B$107,MATCH(28,'All products'!$Q$2:$Q$107,0))&amp;"","")</f>
        <v/>
      </c>
      <c r="C33" s="9">
        <f>IFERROR(INDEX('All products'!$C$2:$C$107,MATCH(28,'All products'!$Q$2:$Q$107,0))&amp;"","")</f>
        <v/>
      </c>
      <c r="D33" s="9">
        <f>IFERROR(INDEX('All products'!$D$2:$D$107,MATCH(28,'All products'!$Q$2:$Q$107,0))&amp;"","")</f>
        <v/>
      </c>
      <c r="E33" s="9">
        <f>IFERROR(INDEX('All products'!$E$2:$E$107,MATCH(28,'All products'!$Q$2:$Q$107,0))&amp;"","")</f>
        <v/>
      </c>
      <c r="F33" s="9">
        <f>IFERROR(INDEX('All products'!$F$2:$F$107,MATCH(28,'All products'!$Q$2:$Q$107,0))&amp;"","")</f>
        <v/>
      </c>
      <c r="G33" s="9">
        <f>IFERROR(INDEX('All products'!$G$2:$G$107,MATCH(28,'All products'!$Q$2:$Q$107,0))&amp;"","")</f>
        <v/>
      </c>
      <c r="H33" s="9">
        <f>IFERROR(INDEX('All products'!$H$2:$H$107,MATCH(28,'All products'!$Q$2:$Q$107,0))&amp;"","")</f>
        <v/>
      </c>
      <c r="I33" s="9">
        <f>IFERROR(INDEX('All products'!$I$2:$I$107,MATCH(28,'All products'!$Q$2:$Q$107,0))&amp;"","")</f>
        <v/>
      </c>
      <c r="J33" s="9">
        <f>IFERROR(INDEX('All products'!$J$2:$J$107,MATCH(28,'All products'!$Q$2:$Q$107,0))&amp;"","")</f>
        <v/>
      </c>
      <c r="K33" s="9">
        <f>IFERROR(INDEX('All products'!$K$2:$K$107,MATCH(28,'All products'!$Q$2:$Q$107,0))&amp;"","")</f>
        <v/>
      </c>
      <c r="L33" s="9">
        <f>IFERROR(INDEX('All products'!$L$2:$L$107,MATCH(28,'All products'!$Q$2:$Q$107,0))&amp;"","")</f>
        <v/>
      </c>
      <c r="M33" s="9">
        <f>IFERROR(INDEX('All products'!$M$2:$M$107,MATCH(28,'All products'!$Q$2:$Q$107,0))&amp;"","")</f>
        <v/>
      </c>
      <c r="N33" s="9">
        <f>IFERROR(INDEX('All products'!$N$2:$N$107,MATCH(28,'All products'!$Q$2:$Q$107,0))&amp;"","")</f>
        <v/>
      </c>
      <c r="O33" s="9">
        <f>IFERROR(HYPERLINK(INDEX('All products'!$O$2:$O$107,MATCH(28,'All products'!$Q$2:$Q$107,0))),"")</f>
        <v/>
      </c>
    </row>
    <row r="34" ht="15" customHeight="1" s="10">
      <c r="A34" s="9">
        <f>IFERROR(INDEX('All products'!$A$2:$A$107,MATCH(29,'All products'!$Q$2:$Q$107,0))&amp;"","")</f>
        <v/>
      </c>
      <c r="B34" s="9">
        <f>IFERROR(INDEX('All products'!$B$2:$B$107,MATCH(29,'All products'!$Q$2:$Q$107,0))&amp;"","")</f>
        <v/>
      </c>
      <c r="C34" s="9">
        <f>IFERROR(INDEX('All products'!$C$2:$C$107,MATCH(29,'All products'!$Q$2:$Q$107,0))&amp;"","")</f>
        <v/>
      </c>
      <c r="D34" s="9">
        <f>IFERROR(INDEX('All products'!$D$2:$D$107,MATCH(29,'All products'!$Q$2:$Q$107,0))&amp;"","")</f>
        <v/>
      </c>
      <c r="E34" s="9">
        <f>IFERROR(INDEX('All products'!$E$2:$E$107,MATCH(29,'All products'!$Q$2:$Q$107,0))&amp;"","")</f>
        <v/>
      </c>
      <c r="F34" s="9">
        <f>IFERROR(INDEX('All products'!$F$2:$F$107,MATCH(29,'All products'!$Q$2:$Q$107,0))&amp;"","")</f>
        <v/>
      </c>
      <c r="G34" s="9">
        <f>IFERROR(INDEX('All products'!$G$2:$G$107,MATCH(29,'All products'!$Q$2:$Q$107,0))&amp;"","")</f>
        <v/>
      </c>
      <c r="H34" s="9">
        <f>IFERROR(INDEX('All products'!$H$2:$H$107,MATCH(29,'All products'!$Q$2:$Q$107,0))&amp;"","")</f>
        <v/>
      </c>
      <c r="I34" s="9">
        <f>IFERROR(INDEX('All products'!$I$2:$I$107,MATCH(29,'All products'!$Q$2:$Q$107,0))&amp;"","")</f>
        <v/>
      </c>
      <c r="J34" s="9">
        <f>IFERROR(INDEX('All products'!$J$2:$J$107,MATCH(29,'All products'!$Q$2:$Q$107,0))&amp;"","")</f>
        <v/>
      </c>
      <c r="K34" s="9">
        <f>IFERROR(INDEX('All products'!$K$2:$K$107,MATCH(29,'All products'!$Q$2:$Q$107,0))&amp;"","")</f>
        <v/>
      </c>
      <c r="L34" s="9">
        <f>IFERROR(INDEX('All products'!$L$2:$L$107,MATCH(29,'All products'!$Q$2:$Q$107,0))&amp;"","")</f>
        <v/>
      </c>
      <c r="M34" s="9">
        <f>IFERROR(INDEX('All products'!$M$2:$M$107,MATCH(29,'All products'!$Q$2:$Q$107,0))&amp;"","")</f>
        <v/>
      </c>
      <c r="N34" s="9">
        <f>IFERROR(INDEX('All products'!$N$2:$N$107,MATCH(29,'All products'!$Q$2:$Q$107,0))&amp;"","")</f>
        <v/>
      </c>
      <c r="O34" s="9">
        <f>IFERROR(HYPERLINK(INDEX('All products'!$O$2:$O$107,MATCH(29,'All products'!$Q$2:$Q$107,0))),"")</f>
        <v/>
      </c>
    </row>
    <row r="35" ht="15" customHeight="1" s="10">
      <c r="A35" s="9">
        <f>IFERROR(INDEX('All products'!$A$2:$A$107,MATCH(30,'All products'!$Q$2:$Q$107,0))&amp;"","")</f>
        <v/>
      </c>
      <c r="B35" s="9">
        <f>IFERROR(INDEX('All products'!$B$2:$B$107,MATCH(30,'All products'!$Q$2:$Q$107,0))&amp;"","")</f>
        <v/>
      </c>
      <c r="C35" s="9">
        <f>IFERROR(INDEX('All products'!$C$2:$C$107,MATCH(30,'All products'!$Q$2:$Q$107,0))&amp;"","")</f>
        <v/>
      </c>
      <c r="D35" s="9">
        <f>IFERROR(INDEX('All products'!$D$2:$D$107,MATCH(30,'All products'!$Q$2:$Q$107,0))&amp;"","")</f>
        <v/>
      </c>
      <c r="E35" s="9">
        <f>IFERROR(INDEX('All products'!$E$2:$E$107,MATCH(30,'All products'!$Q$2:$Q$107,0))&amp;"","")</f>
        <v/>
      </c>
      <c r="F35" s="9">
        <f>IFERROR(INDEX('All products'!$F$2:$F$107,MATCH(30,'All products'!$Q$2:$Q$107,0))&amp;"","")</f>
        <v/>
      </c>
      <c r="G35" s="9">
        <f>IFERROR(INDEX('All products'!$G$2:$G$107,MATCH(30,'All products'!$Q$2:$Q$107,0))&amp;"","")</f>
        <v/>
      </c>
      <c r="H35" s="9">
        <f>IFERROR(INDEX('All products'!$H$2:$H$107,MATCH(30,'All products'!$Q$2:$Q$107,0))&amp;"","")</f>
        <v/>
      </c>
      <c r="I35" s="9">
        <f>IFERROR(INDEX('All products'!$I$2:$I$107,MATCH(30,'All products'!$Q$2:$Q$107,0))&amp;"","")</f>
        <v/>
      </c>
      <c r="J35" s="9">
        <f>IFERROR(INDEX('All products'!$J$2:$J$107,MATCH(30,'All products'!$Q$2:$Q$107,0))&amp;"","")</f>
        <v/>
      </c>
      <c r="K35" s="9">
        <f>IFERROR(INDEX('All products'!$K$2:$K$107,MATCH(30,'All products'!$Q$2:$Q$107,0))&amp;"","")</f>
        <v/>
      </c>
      <c r="L35" s="9">
        <f>IFERROR(INDEX('All products'!$L$2:$L$107,MATCH(30,'All products'!$Q$2:$Q$107,0))&amp;"","")</f>
        <v/>
      </c>
      <c r="M35" s="9">
        <f>IFERROR(INDEX('All products'!$M$2:$M$107,MATCH(30,'All products'!$Q$2:$Q$107,0))&amp;"","")</f>
        <v/>
      </c>
      <c r="N35" s="9">
        <f>IFERROR(INDEX('All products'!$N$2:$N$107,MATCH(30,'All products'!$Q$2:$Q$107,0))&amp;"","")</f>
        <v/>
      </c>
      <c r="O35" s="9">
        <f>IFERROR(HYPERLINK(INDEX('All products'!$O$2:$O$107,MATCH(30,'All products'!$Q$2:$Q$107,0))),"")</f>
        <v/>
      </c>
    </row>
    <row r="36" ht="15" customHeight="1" s="10">
      <c r="A36" s="9">
        <f>IFERROR(INDEX('All products'!$A$2:$A$107,MATCH(31,'All products'!$Q$2:$Q$107,0))&amp;"","")</f>
        <v/>
      </c>
      <c r="B36" s="9">
        <f>IFERROR(INDEX('All products'!$B$2:$B$107,MATCH(31,'All products'!$Q$2:$Q$107,0))&amp;"","")</f>
        <v/>
      </c>
      <c r="C36" s="9">
        <f>IFERROR(INDEX('All products'!$C$2:$C$107,MATCH(31,'All products'!$Q$2:$Q$107,0))&amp;"","")</f>
        <v/>
      </c>
      <c r="D36" s="9">
        <f>IFERROR(INDEX('All products'!$D$2:$D$107,MATCH(31,'All products'!$Q$2:$Q$107,0))&amp;"","")</f>
        <v/>
      </c>
      <c r="E36" s="9">
        <f>IFERROR(INDEX('All products'!$E$2:$E$107,MATCH(31,'All products'!$Q$2:$Q$107,0))&amp;"","")</f>
        <v/>
      </c>
      <c r="F36" s="9">
        <f>IFERROR(INDEX('All products'!$F$2:$F$107,MATCH(31,'All products'!$Q$2:$Q$107,0))&amp;"","")</f>
        <v/>
      </c>
      <c r="G36" s="9">
        <f>IFERROR(INDEX('All products'!$G$2:$G$107,MATCH(31,'All products'!$Q$2:$Q$107,0))&amp;"","")</f>
        <v/>
      </c>
      <c r="H36" s="9">
        <f>IFERROR(INDEX('All products'!$H$2:$H$107,MATCH(31,'All products'!$Q$2:$Q$107,0))&amp;"","")</f>
        <v/>
      </c>
      <c r="I36" s="9">
        <f>IFERROR(INDEX('All products'!$I$2:$I$107,MATCH(31,'All products'!$Q$2:$Q$107,0))&amp;"","")</f>
        <v/>
      </c>
      <c r="J36" s="9">
        <f>IFERROR(INDEX('All products'!$J$2:$J$107,MATCH(31,'All products'!$Q$2:$Q$107,0))&amp;"","")</f>
        <v/>
      </c>
      <c r="K36" s="9">
        <f>IFERROR(INDEX('All products'!$K$2:$K$107,MATCH(31,'All products'!$Q$2:$Q$107,0))&amp;"","")</f>
        <v/>
      </c>
      <c r="L36" s="9">
        <f>IFERROR(INDEX('All products'!$L$2:$L$107,MATCH(31,'All products'!$Q$2:$Q$107,0))&amp;"","")</f>
        <v/>
      </c>
      <c r="M36" s="9">
        <f>IFERROR(INDEX('All products'!$M$2:$M$107,MATCH(31,'All products'!$Q$2:$Q$107,0))&amp;"","")</f>
        <v/>
      </c>
      <c r="N36" s="9">
        <f>IFERROR(INDEX('All products'!$N$2:$N$107,MATCH(31,'All products'!$Q$2:$Q$107,0))&amp;"","")</f>
        <v/>
      </c>
      <c r="O36" s="9">
        <f>IFERROR(HYPERLINK(INDEX('All products'!$O$2:$O$107,MATCH(31,'All products'!$Q$2:$Q$107,0))),"")</f>
        <v/>
      </c>
    </row>
    <row r="37" ht="15" customHeight="1" s="10">
      <c r="A37" s="9">
        <f>IFERROR(INDEX('All products'!$A$2:$A$107,MATCH(32,'All products'!$Q$2:$Q$107,0))&amp;"","")</f>
        <v/>
      </c>
      <c r="B37" s="9">
        <f>IFERROR(INDEX('All products'!$B$2:$B$107,MATCH(32,'All products'!$Q$2:$Q$107,0))&amp;"","")</f>
        <v/>
      </c>
      <c r="C37" s="9">
        <f>IFERROR(INDEX('All products'!$C$2:$C$107,MATCH(32,'All products'!$Q$2:$Q$107,0))&amp;"","")</f>
        <v/>
      </c>
      <c r="D37" s="9">
        <f>IFERROR(INDEX('All products'!$D$2:$D$107,MATCH(32,'All products'!$Q$2:$Q$107,0))&amp;"","")</f>
        <v/>
      </c>
      <c r="E37" s="9">
        <f>IFERROR(INDEX('All products'!$E$2:$E$107,MATCH(32,'All products'!$Q$2:$Q$107,0))&amp;"","")</f>
        <v/>
      </c>
      <c r="F37" s="9">
        <f>IFERROR(INDEX('All products'!$F$2:$F$107,MATCH(32,'All products'!$Q$2:$Q$107,0))&amp;"","")</f>
        <v/>
      </c>
      <c r="G37" s="9">
        <f>IFERROR(INDEX('All products'!$G$2:$G$107,MATCH(32,'All products'!$Q$2:$Q$107,0))&amp;"","")</f>
        <v/>
      </c>
      <c r="H37" s="9">
        <f>IFERROR(INDEX('All products'!$H$2:$H$107,MATCH(32,'All products'!$Q$2:$Q$107,0))&amp;"","")</f>
        <v/>
      </c>
      <c r="I37" s="9">
        <f>IFERROR(INDEX('All products'!$I$2:$I$107,MATCH(32,'All products'!$Q$2:$Q$107,0))&amp;"","")</f>
        <v/>
      </c>
      <c r="J37" s="9">
        <f>IFERROR(INDEX('All products'!$J$2:$J$107,MATCH(32,'All products'!$Q$2:$Q$107,0))&amp;"","")</f>
        <v/>
      </c>
      <c r="K37" s="9">
        <f>IFERROR(INDEX('All products'!$K$2:$K$107,MATCH(32,'All products'!$Q$2:$Q$107,0))&amp;"","")</f>
        <v/>
      </c>
      <c r="L37" s="9">
        <f>IFERROR(INDEX('All products'!$L$2:$L$107,MATCH(32,'All products'!$Q$2:$Q$107,0))&amp;"","")</f>
        <v/>
      </c>
      <c r="M37" s="9">
        <f>IFERROR(INDEX('All products'!$M$2:$M$107,MATCH(32,'All products'!$Q$2:$Q$107,0))&amp;"","")</f>
        <v/>
      </c>
      <c r="N37" s="9">
        <f>IFERROR(INDEX('All products'!$N$2:$N$107,MATCH(32,'All products'!$Q$2:$Q$107,0))&amp;"","")</f>
        <v/>
      </c>
      <c r="O37" s="9">
        <f>IFERROR(HYPERLINK(INDEX('All products'!$O$2:$O$107,MATCH(32,'All products'!$Q$2:$Q$107,0))),"")</f>
        <v/>
      </c>
    </row>
    <row r="38" ht="15" customHeight="1" s="10">
      <c r="A38" s="9">
        <f>IFERROR(INDEX('All products'!$A$2:$A$107,MATCH(33,'All products'!$Q$2:$Q$107,0))&amp;"","")</f>
        <v/>
      </c>
      <c r="B38" s="9">
        <f>IFERROR(INDEX('All products'!$B$2:$B$107,MATCH(33,'All products'!$Q$2:$Q$107,0))&amp;"","")</f>
        <v/>
      </c>
      <c r="C38" s="9">
        <f>IFERROR(INDEX('All products'!$C$2:$C$107,MATCH(33,'All products'!$Q$2:$Q$107,0))&amp;"","")</f>
        <v/>
      </c>
      <c r="D38" s="9">
        <f>IFERROR(INDEX('All products'!$D$2:$D$107,MATCH(33,'All products'!$Q$2:$Q$107,0))&amp;"","")</f>
        <v/>
      </c>
      <c r="E38" s="9">
        <f>IFERROR(INDEX('All products'!$E$2:$E$107,MATCH(33,'All products'!$Q$2:$Q$107,0))&amp;"","")</f>
        <v/>
      </c>
      <c r="F38" s="9">
        <f>IFERROR(INDEX('All products'!$F$2:$F$107,MATCH(33,'All products'!$Q$2:$Q$107,0))&amp;"","")</f>
        <v/>
      </c>
      <c r="G38" s="9">
        <f>IFERROR(INDEX('All products'!$G$2:$G$107,MATCH(33,'All products'!$Q$2:$Q$107,0))&amp;"","")</f>
        <v/>
      </c>
      <c r="H38" s="9">
        <f>IFERROR(INDEX('All products'!$H$2:$H$107,MATCH(33,'All products'!$Q$2:$Q$107,0))&amp;"","")</f>
        <v/>
      </c>
      <c r="I38" s="9">
        <f>IFERROR(INDEX('All products'!$I$2:$I$107,MATCH(33,'All products'!$Q$2:$Q$107,0))&amp;"","")</f>
        <v/>
      </c>
      <c r="J38" s="9">
        <f>IFERROR(INDEX('All products'!$J$2:$J$107,MATCH(33,'All products'!$Q$2:$Q$107,0))&amp;"","")</f>
        <v/>
      </c>
      <c r="K38" s="9">
        <f>IFERROR(INDEX('All products'!$K$2:$K$107,MATCH(33,'All products'!$Q$2:$Q$107,0))&amp;"","")</f>
        <v/>
      </c>
      <c r="L38" s="9">
        <f>IFERROR(INDEX('All products'!$L$2:$L$107,MATCH(33,'All products'!$Q$2:$Q$107,0))&amp;"","")</f>
        <v/>
      </c>
      <c r="M38" s="9">
        <f>IFERROR(INDEX('All products'!$M$2:$M$107,MATCH(33,'All products'!$Q$2:$Q$107,0))&amp;"","")</f>
        <v/>
      </c>
      <c r="N38" s="9">
        <f>IFERROR(INDEX('All products'!$N$2:$N$107,MATCH(33,'All products'!$Q$2:$Q$107,0))&amp;"","")</f>
        <v/>
      </c>
      <c r="O38" s="9">
        <f>IFERROR(HYPERLINK(INDEX('All products'!$O$2:$O$107,MATCH(33,'All products'!$Q$2:$Q$107,0))),"")</f>
        <v/>
      </c>
    </row>
    <row r="39" ht="15" customHeight="1" s="10">
      <c r="A39" s="9">
        <f>IFERROR(INDEX('All products'!$A$2:$A$107,MATCH(34,'All products'!$Q$2:$Q$107,0))&amp;"","")</f>
        <v/>
      </c>
      <c r="B39" s="9">
        <f>IFERROR(INDEX('All products'!$B$2:$B$107,MATCH(34,'All products'!$Q$2:$Q$107,0))&amp;"","")</f>
        <v/>
      </c>
      <c r="C39" s="9">
        <f>IFERROR(INDEX('All products'!$C$2:$C$107,MATCH(34,'All products'!$Q$2:$Q$107,0))&amp;"","")</f>
        <v/>
      </c>
      <c r="D39" s="9">
        <f>IFERROR(INDEX('All products'!$D$2:$D$107,MATCH(34,'All products'!$Q$2:$Q$107,0))&amp;"","")</f>
        <v/>
      </c>
      <c r="E39" s="9">
        <f>IFERROR(INDEX('All products'!$E$2:$E$107,MATCH(34,'All products'!$Q$2:$Q$107,0))&amp;"","")</f>
        <v/>
      </c>
      <c r="F39" s="9">
        <f>IFERROR(INDEX('All products'!$F$2:$F$107,MATCH(34,'All products'!$Q$2:$Q$107,0))&amp;"","")</f>
        <v/>
      </c>
      <c r="G39" s="9">
        <f>IFERROR(INDEX('All products'!$G$2:$G$107,MATCH(34,'All products'!$Q$2:$Q$107,0))&amp;"","")</f>
        <v/>
      </c>
      <c r="H39" s="9">
        <f>IFERROR(INDEX('All products'!$H$2:$H$107,MATCH(34,'All products'!$Q$2:$Q$107,0))&amp;"","")</f>
        <v/>
      </c>
      <c r="I39" s="9">
        <f>IFERROR(INDEX('All products'!$I$2:$I$107,MATCH(34,'All products'!$Q$2:$Q$107,0))&amp;"","")</f>
        <v/>
      </c>
      <c r="J39" s="9">
        <f>IFERROR(INDEX('All products'!$J$2:$J$107,MATCH(34,'All products'!$Q$2:$Q$107,0))&amp;"","")</f>
        <v/>
      </c>
      <c r="K39" s="9">
        <f>IFERROR(INDEX('All products'!$K$2:$K$107,MATCH(34,'All products'!$Q$2:$Q$107,0))&amp;"","")</f>
        <v/>
      </c>
      <c r="L39" s="9">
        <f>IFERROR(INDEX('All products'!$L$2:$L$107,MATCH(34,'All products'!$Q$2:$Q$107,0))&amp;"","")</f>
        <v/>
      </c>
      <c r="M39" s="9">
        <f>IFERROR(INDEX('All products'!$M$2:$M$107,MATCH(34,'All products'!$Q$2:$Q$107,0))&amp;"","")</f>
        <v/>
      </c>
      <c r="N39" s="9">
        <f>IFERROR(INDEX('All products'!$N$2:$N$107,MATCH(34,'All products'!$Q$2:$Q$107,0))&amp;"","")</f>
        <v/>
      </c>
      <c r="O39" s="9">
        <f>IFERROR(HYPERLINK(INDEX('All products'!$O$2:$O$107,MATCH(34,'All products'!$Q$2:$Q$107,0))),"")</f>
        <v/>
      </c>
    </row>
    <row r="40" ht="15" customHeight="1" s="10">
      <c r="A40" s="9">
        <f>IFERROR(INDEX('All products'!$A$2:$A$107,MATCH(35,'All products'!$Q$2:$Q$107,0))&amp;"","")</f>
        <v/>
      </c>
      <c r="B40" s="9">
        <f>IFERROR(INDEX('All products'!$B$2:$B$107,MATCH(35,'All products'!$Q$2:$Q$107,0))&amp;"","")</f>
        <v/>
      </c>
      <c r="C40" s="9">
        <f>IFERROR(INDEX('All products'!$C$2:$C$107,MATCH(35,'All products'!$Q$2:$Q$107,0))&amp;"","")</f>
        <v/>
      </c>
      <c r="D40" s="9">
        <f>IFERROR(INDEX('All products'!$D$2:$D$107,MATCH(35,'All products'!$Q$2:$Q$107,0))&amp;"","")</f>
        <v/>
      </c>
      <c r="E40" s="9">
        <f>IFERROR(INDEX('All products'!$E$2:$E$107,MATCH(35,'All products'!$Q$2:$Q$107,0))&amp;"","")</f>
        <v/>
      </c>
      <c r="F40" s="9">
        <f>IFERROR(INDEX('All products'!$F$2:$F$107,MATCH(35,'All products'!$Q$2:$Q$107,0))&amp;"","")</f>
        <v/>
      </c>
      <c r="G40" s="9">
        <f>IFERROR(INDEX('All products'!$G$2:$G$107,MATCH(35,'All products'!$Q$2:$Q$107,0))&amp;"","")</f>
        <v/>
      </c>
      <c r="H40" s="9">
        <f>IFERROR(INDEX('All products'!$H$2:$H$107,MATCH(35,'All products'!$Q$2:$Q$107,0))&amp;"","")</f>
        <v/>
      </c>
      <c r="I40" s="9">
        <f>IFERROR(INDEX('All products'!$I$2:$I$107,MATCH(35,'All products'!$Q$2:$Q$107,0))&amp;"","")</f>
        <v/>
      </c>
      <c r="J40" s="9">
        <f>IFERROR(INDEX('All products'!$J$2:$J$107,MATCH(35,'All products'!$Q$2:$Q$107,0))&amp;"","")</f>
        <v/>
      </c>
      <c r="K40" s="9">
        <f>IFERROR(INDEX('All products'!$K$2:$K$107,MATCH(35,'All products'!$Q$2:$Q$107,0))&amp;"","")</f>
        <v/>
      </c>
      <c r="L40" s="9">
        <f>IFERROR(INDEX('All products'!$L$2:$L$107,MATCH(35,'All products'!$Q$2:$Q$107,0))&amp;"","")</f>
        <v/>
      </c>
      <c r="M40" s="9">
        <f>IFERROR(INDEX('All products'!$M$2:$M$107,MATCH(35,'All products'!$Q$2:$Q$107,0))&amp;"","")</f>
        <v/>
      </c>
      <c r="N40" s="9">
        <f>IFERROR(INDEX('All products'!$N$2:$N$107,MATCH(35,'All products'!$Q$2:$Q$107,0))&amp;"","")</f>
        <v/>
      </c>
      <c r="O40" s="9">
        <f>IFERROR(HYPERLINK(INDEX('All products'!$O$2:$O$107,MATCH(35,'All products'!$Q$2:$Q$107,0))),"")</f>
        <v/>
      </c>
    </row>
    <row r="41" ht="15" customHeight="1" s="10">
      <c r="A41" s="9">
        <f>IFERROR(INDEX('All products'!$A$2:$A$107,MATCH(36,'All products'!$Q$2:$Q$107,0))&amp;"","")</f>
        <v/>
      </c>
      <c r="B41" s="9">
        <f>IFERROR(INDEX('All products'!$B$2:$B$107,MATCH(36,'All products'!$Q$2:$Q$107,0))&amp;"","")</f>
        <v/>
      </c>
      <c r="C41" s="9">
        <f>IFERROR(INDEX('All products'!$C$2:$C$107,MATCH(36,'All products'!$Q$2:$Q$107,0))&amp;"","")</f>
        <v/>
      </c>
      <c r="D41" s="9">
        <f>IFERROR(INDEX('All products'!$D$2:$D$107,MATCH(36,'All products'!$Q$2:$Q$107,0))&amp;"","")</f>
        <v/>
      </c>
      <c r="E41" s="9">
        <f>IFERROR(INDEX('All products'!$E$2:$E$107,MATCH(36,'All products'!$Q$2:$Q$107,0))&amp;"","")</f>
        <v/>
      </c>
      <c r="F41" s="9">
        <f>IFERROR(INDEX('All products'!$F$2:$F$107,MATCH(36,'All products'!$Q$2:$Q$107,0))&amp;"","")</f>
        <v/>
      </c>
      <c r="G41" s="9">
        <f>IFERROR(INDEX('All products'!$G$2:$G$107,MATCH(36,'All products'!$Q$2:$Q$107,0))&amp;"","")</f>
        <v/>
      </c>
      <c r="H41" s="9">
        <f>IFERROR(INDEX('All products'!$H$2:$H$107,MATCH(36,'All products'!$Q$2:$Q$107,0))&amp;"","")</f>
        <v/>
      </c>
      <c r="I41" s="9">
        <f>IFERROR(INDEX('All products'!$I$2:$I$107,MATCH(36,'All products'!$Q$2:$Q$107,0))&amp;"","")</f>
        <v/>
      </c>
      <c r="J41" s="9">
        <f>IFERROR(INDEX('All products'!$J$2:$J$107,MATCH(36,'All products'!$Q$2:$Q$107,0))&amp;"","")</f>
        <v/>
      </c>
      <c r="K41" s="9">
        <f>IFERROR(INDEX('All products'!$K$2:$K$107,MATCH(36,'All products'!$Q$2:$Q$107,0))&amp;"","")</f>
        <v/>
      </c>
      <c r="L41" s="9">
        <f>IFERROR(INDEX('All products'!$L$2:$L$107,MATCH(36,'All products'!$Q$2:$Q$107,0))&amp;"","")</f>
        <v/>
      </c>
      <c r="M41" s="9">
        <f>IFERROR(INDEX('All products'!$M$2:$M$107,MATCH(36,'All products'!$Q$2:$Q$107,0))&amp;"","")</f>
        <v/>
      </c>
      <c r="N41" s="9">
        <f>IFERROR(INDEX('All products'!$N$2:$N$107,MATCH(36,'All products'!$Q$2:$Q$107,0))&amp;"","")</f>
        <v/>
      </c>
      <c r="O41" s="9">
        <f>IFERROR(HYPERLINK(INDEX('All products'!$O$2:$O$107,MATCH(36,'All products'!$Q$2:$Q$107,0))),"")</f>
        <v/>
      </c>
    </row>
    <row r="42" ht="15" customHeight="1" s="10">
      <c r="A42" s="9">
        <f>IFERROR(INDEX('All products'!$A$2:$A$107,MATCH(37,'All products'!$Q$2:$Q$107,0))&amp;"","")</f>
        <v/>
      </c>
      <c r="B42" s="9">
        <f>IFERROR(INDEX('All products'!$B$2:$B$107,MATCH(37,'All products'!$Q$2:$Q$107,0))&amp;"","")</f>
        <v/>
      </c>
      <c r="C42" s="9">
        <f>IFERROR(INDEX('All products'!$C$2:$C$107,MATCH(37,'All products'!$Q$2:$Q$107,0))&amp;"","")</f>
        <v/>
      </c>
      <c r="D42" s="9">
        <f>IFERROR(INDEX('All products'!$D$2:$D$107,MATCH(37,'All products'!$Q$2:$Q$107,0))&amp;"","")</f>
        <v/>
      </c>
      <c r="E42" s="9">
        <f>IFERROR(INDEX('All products'!$E$2:$E$107,MATCH(37,'All products'!$Q$2:$Q$107,0))&amp;"","")</f>
        <v/>
      </c>
      <c r="F42" s="9">
        <f>IFERROR(INDEX('All products'!$F$2:$F$107,MATCH(37,'All products'!$Q$2:$Q$107,0))&amp;"","")</f>
        <v/>
      </c>
      <c r="G42" s="9">
        <f>IFERROR(INDEX('All products'!$G$2:$G$107,MATCH(37,'All products'!$Q$2:$Q$107,0))&amp;"","")</f>
        <v/>
      </c>
      <c r="H42" s="9">
        <f>IFERROR(INDEX('All products'!$H$2:$H$107,MATCH(37,'All products'!$Q$2:$Q$107,0))&amp;"","")</f>
        <v/>
      </c>
      <c r="I42" s="9">
        <f>IFERROR(INDEX('All products'!$I$2:$I$107,MATCH(37,'All products'!$Q$2:$Q$107,0))&amp;"","")</f>
        <v/>
      </c>
      <c r="J42" s="9">
        <f>IFERROR(INDEX('All products'!$J$2:$J$107,MATCH(37,'All products'!$Q$2:$Q$107,0))&amp;"","")</f>
        <v/>
      </c>
      <c r="K42" s="9">
        <f>IFERROR(INDEX('All products'!$K$2:$K$107,MATCH(37,'All products'!$Q$2:$Q$107,0))&amp;"","")</f>
        <v/>
      </c>
      <c r="L42" s="9">
        <f>IFERROR(INDEX('All products'!$L$2:$L$107,MATCH(37,'All products'!$Q$2:$Q$107,0))&amp;"","")</f>
        <v/>
      </c>
      <c r="M42" s="9">
        <f>IFERROR(INDEX('All products'!$M$2:$M$107,MATCH(37,'All products'!$Q$2:$Q$107,0))&amp;"","")</f>
        <v/>
      </c>
      <c r="N42" s="9">
        <f>IFERROR(INDEX('All products'!$N$2:$N$107,MATCH(37,'All products'!$Q$2:$Q$107,0))&amp;"","")</f>
        <v/>
      </c>
      <c r="O42" s="9">
        <f>IFERROR(HYPERLINK(INDEX('All products'!$O$2:$O$107,MATCH(37,'All products'!$Q$2:$Q$107,0))),"")</f>
        <v/>
      </c>
    </row>
    <row r="43" ht="15" customHeight="1" s="10">
      <c r="A43" s="9">
        <f>IFERROR(INDEX('All products'!$A$2:$A$107,MATCH(38,'All products'!$Q$2:$Q$107,0))&amp;"","")</f>
        <v/>
      </c>
      <c r="B43" s="9">
        <f>IFERROR(INDEX('All products'!$B$2:$B$107,MATCH(38,'All products'!$Q$2:$Q$107,0))&amp;"","")</f>
        <v/>
      </c>
      <c r="C43" s="9">
        <f>IFERROR(INDEX('All products'!$C$2:$C$107,MATCH(38,'All products'!$Q$2:$Q$107,0))&amp;"","")</f>
        <v/>
      </c>
      <c r="D43" s="9">
        <f>IFERROR(INDEX('All products'!$D$2:$D$107,MATCH(38,'All products'!$Q$2:$Q$107,0))&amp;"","")</f>
        <v/>
      </c>
      <c r="E43" s="9">
        <f>IFERROR(INDEX('All products'!$E$2:$E$107,MATCH(38,'All products'!$Q$2:$Q$107,0))&amp;"","")</f>
        <v/>
      </c>
      <c r="F43" s="9">
        <f>IFERROR(INDEX('All products'!$F$2:$F$107,MATCH(38,'All products'!$Q$2:$Q$107,0))&amp;"","")</f>
        <v/>
      </c>
      <c r="G43" s="9">
        <f>IFERROR(INDEX('All products'!$G$2:$G$107,MATCH(38,'All products'!$Q$2:$Q$107,0))&amp;"","")</f>
        <v/>
      </c>
      <c r="H43" s="9">
        <f>IFERROR(INDEX('All products'!$H$2:$H$107,MATCH(38,'All products'!$Q$2:$Q$107,0))&amp;"","")</f>
        <v/>
      </c>
      <c r="I43" s="9">
        <f>IFERROR(INDEX('All products'!$I$2:$I$107,MATCH(38,'All products'!$Q$2:$Q$107,0))&amp;"","")</f>
        <v/>
      </c>
      <c r="J43" s="9">
        <f>IFERROR(INDEX('All products'!$J$2:$J$107,MATCH(38,'All products'!$Q$2:$Q$107,0))&amp;"","")</f>
        <v/>
      </c>
      <c r="K43" s="9">
        <f>IFERROR(INDEX('All products'!$K$2:$K$107,MATCH(38,'All products'!$Q$2:$Q$107,0))&amp;"","")</f>
        <v/>
      </c>
      <c r="L43" s="9">
        <f>IFERROR(INDEX('All products'!$L$2:$L$107,MATCH(38,'All products'!$Q$2:$Q$107,0))&amp;"","")</f>
        <v/>
      </c>
      <c r="M43" s="9">
        <f>IFERROR(INDEX('All products'!$M$2:$M$107,MATCH(38,'All products'!$Q$2:$Q$107,0))&amp;"","")</f>
        <v/>
      </c>
      <c r="N43" s="9">
        <f>IFERROR(INDEX('All products'!$N$2:$N$107,MATCH(38,'All products'!$Q$2:$Q$107,0))&amp;"","")</f>
        <v/>
      </c>
      <c r="O43" s="9">
        <f>IFERROR(HYPERLINK(INDEX('All products'!$O$2:$O$107,MATCH(38,'All products'!$Q$2:$Q$107,0))),"")</f>
        <v/>
      </c>
    </row>
    <row r="44" ht="15" customHeight="1" s="10">
      <c r="A44" s="9">
        <f>IFERROR(INDEX('All products'!$A$2:$A$107,MATCH(39,'All products'!$Q$2:$Q$107,0))&amp;"","")</f>
        <v/>
      </c>
      <c r="B44" s="9">
        <f>IFERROR(INDEX('All products'!$B$2:$B$107,MATCH(39,'All products'!$Q$2:$Q$107,0))&amp;"","")</f>
        <v/>
      </c>
      <c r="C44" s="9">
        <f>IFERROR(INDEX('All products'!$C$2:$C$107,MATCH(39,'All products'!$Q$2:$Q$107,0))&amp;"","")</f>
        <v/>
      </c>
      <c r="D44" s="9">
        <f>IFERROR(INDEX('All products'!$D$2:$D$107,MATCH(39,'All products'!$Q$2:$Q$107,0))&amp;"","")</f>
        <v/>
      </c>
      <c r="E44" s="9">
        <f>IFERROR(INDEX('All products'!$E$2:$E$107,MATCH(39,'All products'!$Q$2:$Q$107,0))&amp;"","")</f>
        <v/>
      </c>
      <c r="F44" s="9">
        <f>IFERROR(INDEX('All products'!$F$2:$F$107,MATCH(39,'All products'!$Q$2:$Q$107,0))&amp;"","")</f>
        <v/>
      </c>
      <c r="G44" s="9">
        <f>IFERROR(INDEX('All products'!$G$2:$G$107,MATCH(39,'All products'!$Q$2:$Q$107,0))&amp;"","")</f>
        <v/>
      </c>
      <c r="H44" s="9">
        <f>IFERROR(INDEX('All products'!$H$2:$H$107,MATCH(39,'All products'!$Q$2:$Q$107,0))&amp;"","")</f>
        <v/>
      </c>
      <c r="I44" s="9">
        <f>IFERROR(INDEX('All products'!$I$2:$I$107,MATCH(39,'All products'!$Q$2:$Q$107,0))&amp;"","")</f>
        <v/>
      </c>
      <c r="J44" s="9">
        <f>IFERROR(INDEX('All products'!$J$2:$J$107,MATCH(39,'All products'!$Q$2:$Q$107,0))&amp;"","")</f>
        <v/>
      </c>
      <c r="K44" s="9">
        <f>IFERROR(INDEX('All products'!$K$2:$K$107,MATCH(39,'All products'!$Q$2:$Q$107,0))&amp;"","")</f>
        <v/>
      </c>
      <c r="L44" s="9">
        <f>IFERROR(INDEX('All products'!$L$2:$L$107,MATCH(39,'All products'!$Q$2:$Q$107,0))&amp;"","")</f>
        <v/>
      </c>
      <c r="M44" s="9">
        <f>IFERROR(INDEX('All products'!$M$2:$M$107,MATCH(39,'All products'!$Q$2:$Q$107,0))&amp;"","")</f>
        <v/>
      </c>
      <c r="N44" s="9">
        <f>IFERROR(INDEX('All products'!$N$2:$N$107,MATCH(39,'All products'!$Q$2:$Q$107,0))&amp;"","")</f>
        <v/>
      </c>
      <c r="O44" s="9">
        <f>IFERROR(HYPERLINK(INDEX('All products'!$O$2:$O$107,MATCH(39,'All products'!$Q$2:$Q$107,0))),"")</f>
        <v/>
      </c>
    </row>
    <row r="45" ht="15" customHeight="1" s="10">
      <c r="A45" s="9">
        <f>IFERROR(INDEX('All products'!$A$2:$A$107,MATCH(40,'All products'!$Q$2:$Q$107,0))&amp;"","")</f>
        <v/>
      </c>
      <c r="B45" s="9">
        <f>IFERROR(INDEX('All products'!$B$2:$B$107,MATCH(40,'All products'!$Q$2:$Q$107,0))&amp;"","")</f>
        <v/>
      </c>
      <c r="C45" s="9">
        <f>IFERROR(INDEX('All products'!$C$2:$C$107,MATCH(40,'All products'!$Q$2:$Q$107,0))&amp;"","")</f>
        <v/>
      </c>
      <c r="D45" s="9">
        <f>IFERROR(INDEX('All products'!$D$2:$D$107,MATCH(40,'All products'!$Q$2:$Q$107,0))&amp;"","")</f>
        <v/>
      </c>
      <c r="E45" s="9">
        <f>IFERROR(INDEX('All products'!$E$2:$E$107,MATCH(40,'All products'!$Q$2:$Q$107,0))&amp;"","")</f>
        <v/>
      </c>
      <c r="F45" s="9">
        <f>IFERROR(INDEX('All products'!$F$2:$F$107,MATCH(40,'All products'!$Q$2:$Q$107,0))&amp;"","")</f>
        <v/>
      </c>
      <c r="G45" s="9">
        <f>IFERROR(INDEX('All products'!$G$2:$G$107,MATCH(40,'All products'!$Q$2:$Q$107,0))&amp;"","")</f>
        <v/>
      </c>
      <c r="H45" s="9">
        <f>IFERROR(INDEX('All products'!$H$2:$H$107,MATCH(40,'All products'!$Q$2:$Q$107,0))&amp;"","")</f>
        <v/>
      </c>
      <c r="I45" s="9">
        <f>IFERROR(INDEX('All products'!$I$2:$I$107,MATCH(40,'All products'!$Q$2:$Q$107,0))&amp;"","")</f>
        <v/>
      </c>
      <c r="J45" s="9">
        <f>IFERROR(INDEX('All products'!$J$2:$J$107,MATCH(40,'All products'!$Q$2:$Q$107,0))&amp;"","")</f>
        <v/>
      </c>
      <c r="K45" s="9">
        <f>IFERROR(INDEX('All products'!$K$2:$K$107,MATCH(40,'All products'!$Q$2:$Q$107,0))&amp;"","")</f>
        <v/>
      </c>
      <c r="L45" s="9">
        <f>IFERROR(INDEX('All products'!$L$2:$L$107,MATCH(40,'All products'!$Q$2:$Q$107,0))&amp;"","")</f>
        <v/>
      </c>
      <c r="M45" s="9">
        <f>IFERROR(INDEX('All products'!$M$2:$M$107,MATCH(40,'All products'!$Q$2:$Q$107,0))&amp;"","")</f>
        <v/>
      </c>
      <c r="N45" s="9">
        <f>IFERROR(INDEX('All products'!$N$2:$N$107,MATCH(40,'All products'!$Q$2:$Q$107,0))&amp;"","")</f>
        <v/>
      </c>
      <c r="O45" s="9">
        <f>IFERROR(HYPERLINK(INDEX('All products'!$O$2:$O$107,MATCH(40,'All products'!$Q$2:$Q$107,0))),"")</f>
        <v/>
      </c>
    </row>
    <row r="46" ht="15" customHeight="1" s="10">
      <c r="A46" s="9">
        <f>IFERROR(INDEX('All products'!$A$2:$A$107,MATCH(41,'All products'!$Q$2:$Q$107,0))&amp;"","")</f>
        <v/>
      </c>
      <c r="B46" s="9">
        <f>IFERROR(INDEX('All products'!$B$2:$B$107,MATCH(41,'All products'!$Q$2:$Q$107,0))&amp;"","")</f>
        <v/>
      </c>
      <c r="C46" s="9">
        <f>IFERROR(INDEX('All products'!$C$2:$C$107,MATCH(41,'All products'!$Q$2:$Q$107,0))&amp;"","")</f>
        <v/>
      </c>
      <c r="D46" s="9">
        <f>IFERROR(INDEX('All products'!$D$2:$D$107,MATCH(41,'All products'!$Q$2:$Q$107,0))&amp;"","")</f>
        <v/>
      </c>
      <c r="E46" s="9">
        <f>IFERROR(INDEX('All products'!$E$2:$E$107,MATCH(41,'All products'!$Q$2:$Q$107,0))&amp;"","")</f>
        <v/>
      </c>
      <c r="F46" s="9">
        <f>IFERROR(INDEX('All products'!$F$2:$F$107,MATCH(41,'All products'!$Q$2:$Q$107,0))&amp;"","")</f>
        <v/>
      </c>
      <c r="G46" s="9">
        <f>IFERROR(INDEX('All products'!$G$2:$G$107,MATCH(41,'All products'!$Q$2:$Q$107,0))&amp;"","")</f>
        <v/>
      </c>
      <c r="H46" s="9">
        <f>IFERROR(INDEX('All products'!$H$2:$H$107,MATCH(41,'All products'!$Q$2:$Q$107,0))&amp;"","")</f>
        <v/>
      </c>
      <c r="I46" s="9">
        <f>IFERROR(INDEX('All products'!$I$2:$I$107,MATCH(41,'All products'!$Q$2:$Q$107,0))&amp;"","")</f>
        <v/>
      </c>
      <c r="J46" s="9">
        <f>IFERROR(INDEX('All products'!$J$2:$J$107,MATCH(41,'All products'!$Q$2:$Q$107,0))&amp;"","")</f>
        <v/>
      </c>
      <c r="K46" s="9">
        <f>IFERROR(INDEX('All products'!$K$2:$K$107,MATCH(41,'All products'!$Q$2:$Q$107,0))&amp;"","")</f>
        <v/>
      </c>
      <c r="L46" s="9">
        <f>IFERROR(INDEX('All products'!$L$2:$L$107,MATCH(41,'All products'!$Q$2:$Q$107,0))&amp;"","")</f>
        <v/>
      </c>
      <c r="M46" s="9">
        <f>IFERROR(INDEX('All products'!$M$2:$M$107,MATCH(41,'All products'!$Q$2:$Q$107,0))&amp;"","")</f>
        <v/>
      </c>
      <c r="N46" s="9">
        <f>IFERROR(INDEX('All products'!$N$2:$N$107,MATCH(41,'All products'!$Q$2:$Q$107,0))&amp;"","")</f>
        <v/>
      </c>
      <c r="O46" s="9">
        <f>IFERROR(HYPERLINK(INDEX('All products'!$O$2:$O$107,MATCH(41,'All products'!$Q$2:$Q$107,0))),"")</f>
        <v/>
      </c>
    </row>
    <row r="47" ht="15" customHeight="1" s="10">
      <c r="A47" s="9">
        <f>IFERROR(INDEX('All products'!$A$2:$A$107,MATCH(42,'All products'!$Q$2:$Q$107,0))&amp;"","")</f>
        <v/>
      </c>
      <c r="B47" s="9">
        <f>IFERROR(INDEX('All products'!$B$2:$B$107,MATCH(42,'All products'!$Q$2:$Q$107,0))&amp;"","")</f>
        <v/>
      </c>
      <c r="C47" s="9">
        <f>IFERROR(INDEX('All products'!$C$2:$C$107,MATCH(42,'All products'!$Q$2:$Q$107,0))&amp;"","")</f>
        <v/>
      </c>
      <c r="D47" s="9">
        <f>IFERROR(INDEX('All products'!$D$2:$D$107,MATCH(42,'All products'!$Q$2:$Q$107,0))&amp;"","")</f>
        <v/>
      </c>
      <c r="E47" s="9">
        <f>IFERROR(INDEX('All products'!$E$2:$E$107,MATCH(42,'All products'!$Q$2:$Q$107,0))&amp;"","")</f>
        <v/>
      </c>
      <c r="F47" s="9">
        <f>IFERROR(INDEX('All products'!$F$2:$F$107,MATCH(42,'All products'!$Q$2:$Q$107,0))&amp;"","")</f>
        <v/>
      </c>
      <c r="G47" s="9">
        <f>IFERROR(INDEX('All products'!$G$2:$G$107,MATCH(42,'All products'!$Q$2:$Q$107,0))&amp;"","")</f>
        <v/>
      </c>
      <c r="H47" s="9">
        <f>IFERROR(INDEX('All products'!$H$2:$H$107,MATCH(42,'All products'!$Q$2:$Q$107,0))&amp;"","")</f>
        <v/>
      </c>
      <c r="I47" s="9">
        <f>IFERROR(INDEX('All products'!$I$2:$I$107,MATCH(42,'All products'!$Q$2:$Q$107,0))&amp;"","")</f>
        <v/>
      </c>
      <c r="J47" s="9">
        <f>IFERROR(INDEX('All products'!$J$2:$J$107,MATCH(42,'All products'!$Q$2:$Q$107,0))&amp;"","")</f>
        <v/>
      </c>
      <c r="K47" s="9">
        <f>IFERROR(INDEX('All products'!$K$2:$K$107,MATCH(42,'All products'!$Q$2:$Q$107,0))&amp;"","")</f>
        <v/>
      </c>
      <c r="L47" s="9">
        <f>IFERROR(INDEX('All products'!$L$2:$L$107,MATCH(42,'All products'!$Q$2:$Q$107,0))&amp;"","")</f>
        <v/>
      </c>
      <c r="M47" s="9">
        <f>IFERROR(INDEX('All products'!$M$2:$M$107,MATCH(42,'All products'!$Q$2:$Q$107,0))&amp;"","")</f>
        <v/>
      </c>
      <c r="N47" s="9">
        <f>IFERROR(INDEX('All products'!$N$2:$N$107,MATCH(42,'All products'!$Q$2:$Q$107,0))&amp;"","")</f>
        <v/>
      </c>
      <c r="O47" s="9">
        <f>IFERROR(HYPERLINK(INDEX('All products'!$O$2:$O$107,MATCH(42,'All products'!$Q$2:$Q$107,0))),"")</f>
        <v/>
      </c>
    </row>
    <row r="48" ht="15" customHeight="1" s="10">
      <c r="A48" s="9">
        <f>IFERROR(INDEX('All products'!$A$2:$A$107,MATCH(43,'All products'!$Q$2:$Q$107,0))&amp;"","")</f>
        <v/>
      </c>
      <c r="B48" s="9">
        <f>IFERROR(INDEX('All products'!$B$2:$B$107,MATCH(43,'All products'!$Q$2:$Q$107,0))&amp;"","")</f>
        <v/>
      </c>
      <c r="C48" s="9">
        <f>IFERROR(INDEX('All products'!$C$2:$C$107,MATCH(43,'All products'!$Q$2:$Q$107,0))&amp;"","")</f>
        <v/>
      </c>
      <c r="D48" s="9">
        <f>IFERROR(INDEX('All products'!$D$2:$D$107,MATCH(43,'All products'!$Q$2:$Q$107,0))&amp;"","")</f>
        <v/>
      </c>
      <c r="E48" s="9">
        <f>IFERROR(INDEX('All products'!$E$2:$E$107,MATCH(43,'All products'!$Q$2:$Q$107,0))&amp;"","")</f>
        <v/>
      </c>
      <c r="F48" s="9">
        <f>IFERROR(INDEX('All products'!$F$2:$F$107,MATCH(43,'All products'!$Q$2:$Q$107,0))&amp;"","")</f>
        <v/>
      </c>
      <c r="G48" s="9">
        <f>IFERROR(INDEX('All products'!$G$2:$G$107,MATCH(43,'All products'!$Q$2:$Q$107,0))&amp;"","")</f>
        <v/>
      </c>
      <c r="H48" s="9">
        <f>IFERROR(INDEX('All products'!$H$2:$H$107,MATCH(43,'All products'!$Q$2:$Q$107,0))&amp;"","")</f>
        <v/>
      </c>
      <c r="I48" s="9">
        <f>IFERROR(INDEX('All products'!$I$2:$I$107,MATCH(43,'All products'!$Q$2:$Q$107,0))&amp;"","")</f>
        <v/>
      </c>
      <c r="J48" s="9">
        <f>IFERROR(INDEX('All products'!$J$2:$J$107,MATCH(43,'All products'!$Q$2:$Q$107,0))&amp;"","")</f>
        <v/>
      </c>
      <c r="K48" s="9">
        <f>IFERROR(INDEX('All products'!$K$2:$K$107,MATCH(43,'All products'!$Q$2:$Q$107,0))&amp;"","")</f>
        <v/>
      </c>
      <c r="L48" s="9">
        <f>IFERROR(INDEX('All products'!$L$2:$L$107,MATCH(43,'All products'!$Q$2:$Q$107,0))&amp;"","")</f>
        <v/>
      </c>
      <c r="M48" s="9">
        <f>IFERROR(INDEX('All products'!$M$2:$M$107,MATCH(43,'All products'!$Q$2:$Q$107,0))&amp;"","")</f>
        <v/>
      </c>
      <c r="N48" s="9">
        <f>IFERROR(INDEX('All products'!$N$2:$N$107,MATCH(43,'All products'!$Q$2:$Q$107,0))&amp;"","")</f>
        <v/>
      </c>
      <c r="O48" s="9">
        <f>IFERROR(HYPERLINK(INDEX('All products'!$O$2:$O$107,MATCH(43,'All products'!$Q$2:$Q$107,0))),"")</f>
        <v/>
      </c>
    </row>
    <row r="49" ht="15" customHeight="1" s="10">
      <c r="A49" s="9">
        <f>IFERROR(INDEX('All products'!$A$2:$A$107,MATCH(44,'All products'!$Q$2:$Q$107,0))&amp;"","")</f>
        <v/>
      </c>
      <c r="B49" s="9">
        <f>IFERROR(INDEX('All products'!$B$2:$B$107,MATCH(44,'All products'!$Q$2:$Q$107,0))&amp;"","")</f>
        <v/>
      </c>
      <c r="C49" s="9">
        <f>IFERROR(INDEX('All products'!$C$2:$C$107,MATCH(44,'All products'!$Q$2:$Q$107,0))&amp;"","")</f>
        <v/>
      </c>
      <c r="D49" s="9">
        <f>IFERROR(INDEX('All products'!$D$2:$D$107,MATCH(44,'All products'!$Q$2:$Q$107,0))&amp;"","")</f>
        <v/>
      </c>
      <c r="E49" s="9">
        <f>IFERROR(INDEX('All products'!$E$2:$E$107,MATCH(44,'All products'!$Q$2:$Q$107,0))&amp;"","")</f>
        <v/>
      </c>
      <c r="F49" s="9">
        <f>IFERROR(INDEX('All products'!$F$2:$F$107,MATCH(44,'All products'!$Q$2:$Q$107,0))&amp;"","")</f>
        <v/>
      </c>
      <c r="G49" s="9">
        <f>IFERROR(INDEX('All products'!$G$2:$G$107,MATCH(44,'All products'!$Q$2:$Q$107,0))&amp;"","")</f>
        <v/>
      </c>
      <c r="H49" s="9">
        <f>IFERROR(INDEX('All products'!$H$2:$H$107,MATCH(44,'All products'!$Q$2:$Q$107,0))&amp;"","")</f>
        <v/>
      </c>
      <c r="I49" s="9">
        <f>IFERROR(INDEX('All products'!$I$2:$I$107,MATCH(44,'All products'!$Q$2:$Q$107,0))&amp;"","")</f>
        <v/>
      </c>
      <c r="J49" s="9">
        <f>IFERROR(INDEX('All products'!$J$2:$J$107,MATCH(44,'All products'!$Q$2:$Q$107,0))&amp;"","")</f>
        <v/>
      </c>
      <c r="K49" s="9">
        <f>IFERROR(INDEX('All products'!$K$2:$K$107,MATCH(44,'All products'!$Q$2:$Q$107,0))&amp;"","")</f>
        <v/>
      </c>
      <c r="L49" s="9">
        <f>IFERROR(INDEX('All products'!$L$2:$L$107,MATCH(44,'All products'!$Q$2:$Q$107,0))&amp;"","")</f>
        <v/>
      </c>
      <c r="M49" s="9">
        <f>IFERROR(INDEX('All products'!$M$2:$M$107,MATCH(44,'All products'!$Q$2:$Q$107,0))&amp;"","")</f>
        <v/>
      </c>
      <c r="N49" s="9">
        <f>IFERROR(INDEX('All products'!$N$2:$N$107,MATCH(44,'All products'!$Q$2:$Q$107,0))&amp;"","")</f>
        <v/>
      </c>
      <c r="O49" s="9">
        <f>IFERROR(HYPERLINK(INDEX('All products'!$O$2:$O$107,MATCH(44,'All products'!$Q$2:$Q$107,0))),"")</f>
        <v/>
      </c>
    </row>
    <row r="50" ht="15" customHeight="1" s="10">
      <c r="A50" s="9">
        <f>IFERROR(INDEX('All products'!$A$2:$A$107,MATCH(45,'All products'!$Q$2:$Q$107,0))&amp;"","")</f>
        <v/>
      </c>
      <c r="B50" s="9">
        <f>IFERROR(INDEX('All products'!$B$2:$B$107,MATCH(45,'All products'!$Q$2:$Q$107,0))&amp;"","")</f>
        <v/>
      </c>
      <c r="C50" s="9">
        <f>IFERROR(INDEX('All products'!$C$2:$C$107,MATCH(45,'All products'!$Q$2:$Q$107,0))&amp;"","")</f>
        <v/>
      </c>
      <c r="D50" s="9">
        <f>IFERROR(INDEX('All products'!$D$2:$D$107,MATCH(45,'All products'!$Q$2:$Q$107,0))&amp;"","")</f>
        <v/>
      </c>
      <c r="E50" s="9">
        <f>IFERROR(INDEX('All products'!$E$2:$E$107,MATCH(45,'All products'!$Q$2:$Q$107,0))&amp;"","")</f>
        <v/>
      </c>
      <c r="F50" s="9">
        <f>IFERROR(INDEX('All products'!$F$2:$F$107,MATCH(45,'All products'!$Q$2:$Q$107,0))&amp;"","")</f>
        <v/>
      </c>
      <c r="G50" s="9">
        <f>IFERROR(INDEX('All products'!$G$2:$G$107,MATCH(45,'All products'!$Q$2:$Q$107,0))&amp;"","")</f>
        <v/>
      </c>
      <c r="H50" s="9">
        <f>IFERROR(INDEX('All products'!$H$2:$H$107,MATCH(45,'All products'!$Q$2:$Q$107,0))&amp;"","")</f>
        <v/>
      </c>
      <c r="I50" s="9">
        <f>IFERROR(INDEX('All products'!$I$2:$I$107,MATCH(45,'All products'!$Q$2:$Q$107,0))&amp;"","")</f>
        <v/>
      </c>
      <c r="J50" s="9">
        <f>IFERROR(INDEX('All products'!$J$2:$J$107,MATCH(45,'All products'!$Q$2:$Q$107,0))&amp;"","")</f>
        <v/>
      </c>
      <c r="K50" s="9">
        <f>IFERROR(INDEX('All products'!$K$2:$K$107,MATCH(45,'All products'!$Q$2:$Q$107,0))&amp;"","")</f>
        <v/>
      </c>
      <c r="L50" s="9">
        <f>IFERROR(INDEX('All products'!$L$2:$L$107,MATCH(45,'All products'!$Q$2:$Q$107,0))&amp;"","")</f>
        <v/>
      </c>
      <c r="M50" s="9">
        <f>IFERROR(INDEX('All products'!$M$2:$M$107,MATCH(45,'All products'!$Q$2:$Q$107,0))&amp;"","")</f>
        <v/>
      </c>
      <c r="N50" s="9">
        <f>IFERROR(INDEX('All products'!$N$2:$N$107,MATCH(45,'All products'!$Q$2:$Q$107,0))&amp;"","")</f>
        <v/>
      </c>
      <c r="O50" s="9">
        <f>IFERROR(HYPERLINK(INDEX('All products'!$O$2:$O$107,MATCH(45,'All products'!$Q$2:$Q$107,0))),"")</f>
        <v/>
      </c>
    </row>
    <row r="51" ht="15" customHeight="1" s="10">
      <c r="A51" s="9">
        <f>IFERROR(INDEX('All products'!$A$2:$A$107,MATCH(46,'All products'!$Q$2:$Q$107,0))&amp;"","")</f>
        <v/>
      </c>
      <c r="B51" s="9">
        <f>IFERROR(INDEX('All products'!$B$2:$B$107,MATCH(46,'All products'!$Q$2:$Q$107,0))&amp;"","")</f>
        <v/>
      </c>
      <c r="C51" s="9">
        <f>IFERROR(INDEX('All products'!$C$2:$C$107,MATCH(46,'All products'!$Q$2:$Q$107,0))&amp;"","")</f>
        <v/>
      </c>
      <c r="D51" s="9">
        <f>IFERROR(INDEX('All products'!$D$2:$D$107,MATCH(46,'All products'!$Q$2:$Q$107,0))&amp;"","")</f>
        <v/>
      </c>
      <c r="E51" s="9">
        <f>IFERROR(INDEX('All products'!$E$2:$E$107,MATCH(46,'All products'!$Q$2:$Q$107,0))&amp;"","")</f>
        <v/>
      </c>
      <c r="F51" s="9">
        <f>IFERROR(INDEX('All products'!$F$2:$F$107,MATCH(46,'All products'!$Q$2:$Q$107,0))&amp;"","")</f>
        <v/>
      </c>
      <c r="G51" s="9">
        <f>IFERROR(INDEX('All products'!$G$2:$G$107,MATCH(46,'All products'!$Q$2:$Q$107,0))&amp;"","")</f>
        <v/>
      </c>
      <c r="H51" s="9">
        <f>IFERROR(INDEX('All products'!$H$2:$H$107,MATCH(46,'All products'!$Q$2:$Q$107,0))&amp;"","")</f>
        <v/>
      </c>
      <c r="I51" s="9">
        <f>IFERROR(INDEX('All products'!$I$2:$I$107,MATCH(46,'All products'!$Q$2:$Q$107,0))&amp;"","")</f>
        <v/>
      </c>
      <c r="J51" s="9">
        <f>IFERROR(INDEX('All products'!$J$2:$J$107,MATCH(46,'All products'!$Q$2:$Q$107,0))&amp;"","")</f>
        <v/>
      </c>
      <c r="K51" s="9">
        <f>IFERROR(INDEX('All products'!$K$2:$K$107,MATCH(46,'All products'!$Q$2:$Q$107,0))&amp;"","")</f>
        <v/>
      </c>
      <c r="L51" s="9">
        <f>IFERROR(INDEX('All products'!$L$2:$L$107,MATCH(46,'All products'!$Q$2:$Q$107,0))&amp;"","")</f>
        <v/>
      </c>
      <c r="M51" s="9">
        <f>IFERROR(INDEX('All products'!$M$2:$M$107,MATCH(46,'All products'!$Q$2:$Q$107,0))&amp;"","")</f>
        <v/>
      </c>
      <c r="N51" s="9">
        <f>IFERROR(INDEX('All products'!$N$2:$N$107,MATCH(46,'All products'!$Q$2:$Q$107,0))&amp;"","")</f>
        <v/>
      </c>
      <c r="O51" s="9">
        <f>IFERROR(HYPERLINK(INDEX('All products'!$O$2:$O$107,MATCH(46,'All products'!$Q$2:$Q$107,0))),"")</f>
        <v/>
      </c>
    </row>
    <row r="52" ht="15" customHeight="1" s="10">
      <c r="A52" s="9">
        <f>IFERROR(INDEX('All products'!$A$2:$A$107,MATCH(47,'All products'!$Q$2:$Q$107,0))&amp;"","")</f>
        <v/>
      </c>
      <c r="B52" s="9">
        <f>IFERROR(INDEX('All products'!$B$2:$B$107,MATCH(47,'All products'!$Q$2:$Q$107,0))&amp;"","")</f>
        <v/>
      </c>
      <c r="C52" s="9">
        <f>IFERROR(INDEX('All products'!$C$2:$C$107,MATCH(47,'All products'!$Q$2:$Q$107,0))&amp;"","")</f>
        <v/>
      </c>
      <c r="D52" s="9">
        <f>IFERROR(INDEX('All products'!$D$2:$D$107,MATCH(47,'All products'!$Q$2:$Q$107,0))&amp;"","")</f>
        <v/>
      </c>
      <c r="E52" s="9">
        <f>IFERROR(INDEX('All products'!$E$2:$E$107,MATCH(47,'All products'!$Q$2:$Q$107,0))&amp;"","")</f>
        <v/>
      </c>
      <c r="F52" s="9">
        <f>IFERROR(INDEX('All products'!$F$2:$F$107,MATCH(47,'All products'!$Q$2:$Q$107,0))&amp;"","")</f>
        <v/>
      </c>
      <c r="G52" s="9">
        <f>IFERROR(INDEX('All products'!$G$2:$G$107,MATCH(47,'All products'!$Q$2:$Q$107,0))&amp;"","")</f>
        <v/>
      </c>
      <c r="H52" s="9">
        <f>IFERROR(INDEX('All products'!$H$2:$H$107,MATCH(47,'All products'!$Q$2:$Q$107,0))&amp;"","")</f>
        <v/>
      </c>
      <c r="I52" s="9">
        <f>IFERROR(INDEX('All products'!$I$2:$I$107,MATCH(47,'All products'!$Q$2:$Q$107,0))&amp;"","")</f>
        <v/>
      </c>
      <c r="J52" s="9">
        <f>IFERROR(INDEX('All products'!$J$2:$J$107,MATCH(47,'All products'!$Q$2:$Q$107,0))&amp;"","")</f>
        <v/>
      </c>
      <c r="K52" s="9">
        <f>IFERROR(INDEX('All products'!$K$2:$K$107,MATCH(47,'All products'!$Q$2:$Q$107,0))&amp;"","")</f>
        <v/>
      </c>
      <c r="L52" s="9">
        <f>IFERROR(INDEX('All products'!$L$2:$L$107,MATCH(47,'All products'!$Q$2:$Q$107,0))&amp;"","")</f>
        <v/>
      </c>
      <c r="M52" s="9">
        <f>IFERROR(INDEX('All products'!$M$2:$M$107,MATCH(47,'All products'!$Q$2:$Q$107,0))&amp;"","")</f>
        <v/>
      </c>
      <c r="N52" s="9">
        <f>IFERROR(INDEX('All products'!$N$2:$N$107,MATCH(47,'All products'!$Q$2:$Q$107,0))&amp;"","")</f>
        <v/>
      </c>
      <c r="O52" s="9">
        <f>IFERROR(HYPERLINK(INDEX('All products'!$O$2:$O$107,MATCH(47,'All products'!$Q$2:$Q$107,0))),"")</f>
        <v/>
      </c>
    </row>
    <row r="53" ht="15" customHeight="1" s="10">
      <c r="A53" s="9">
        <f>IFERROR(INDEX('All products'!$A$2:$A$107,MATCH(48,'All products'!$Q$2:$Q$107,0))&amp;"","")</f>
        <v/>
      </c>
      <c r="B53" s="9">
        <f>IFERROR(INDEX('All products'!$B$2:$B$107,MATCH(48,'All products'!$Q$2:$Q$107,0))&amp;"","")</f>
        <v/>
      </c>
      <c r="C53" s="9">
        <f>IFERROR(INDEX('All products'!$C$2:$C$107,MATCH(48,'All products'!$Q$2:$Q$107,0))&amp;"","")</f>
        <v/>
      </c>
      <c r="D53" s="9">
        <f>IFERROR(INDEX('All products'!$D$2:$D$107,MATCH(48,'All products'!$Q$2:$Q$107,0))&amp;"","")</f>
        <v/>
      </c>
      <c r="E53" s="9">
        <f>IFERROR(INDEX('All products'!$E$2:$E$107,MATCH(48,'All products'!$Q$2:$Q$107,0))&amp;"","")</f>
        <v/>
      </c>
      <c r="F53" s="9">
        <f>IFERROR(INDEX('All products'!$F$2:$F$107,MATCH(48,'All products'!$Q$2:$Q$107,0))&amp;"","")</f>
        <v/>
      </c>
      <c r="G53" s="9">
        <f>IFERROR(INDEX('All products'!$G$2:$G$107,MATCH(48,'All products'!$Q$2:$Q$107,0))&amp;"","")</f>
        <v/>
      </c>
      <c r="H53" s="9">
        <f>IFERROR(INDEX('All products'!$H$2:$H$107,MATCH(48,'All products'!$Q$2:$Q$107,0))&amp;"","")</f>
        <v/>
      </c>
      <c r="I53" s="9">
        <f>IFERROR(INDEX('All products'!$I$2:$I$107,MATCH(48,'All products'!$Q$2:$Q$107,0))&amp;"","")</f>
        <v/>
      </c>
      <c r="J53" s="9">
        <f>IFERROR(INDEX('All products'!$J$2:$J$107,MATCH(48,'All products'!$Q$2:$Q$107,0))&amp;"","")</f>
        <v/>
      </c>
      <c r="K53" s="9">
        <f>IFERROR(INDEX('All products'!$K$2:$K$107,MATCH(48,'All products'!$Q$2:$Q$107,0))&amp;"","")</f>
        <v/>
      </c>
      <c r="L53" s="9">
        <f>IFERROR(INDEX('All products'!$L$2:$L$107,MATCH(48,'All products'!$Q$2:$Q$107,0))&amp;"","")</f>
        <v/>
      </c>
      <c r="M53" s="9">
        <f>IFERROR(INDEX('All products'!$M$2:$M$107,MATCH(48,'All products'!$Q$2:$Q$107,0))&amp;"","")</f>
        <v/>
      </c>
      <c r="N53" s="9">
        <f>IFERROR(INDEX('All products'!$N$2:$N$107,MATCH(48,'All products'!$Q$2:$Q$107,0))&amp;"","")</f>
        <v/>
      </c>
      <c r="O53" s="9">
        <f>IFERROR(HYPERLINK(INDEX('All products'!$O$2:$O$107,MATCH(48,'All products'!$Q$2:$Q$107,0))),"")</f>
        <v/>
      </c>
    </row>
    <row r="54" ht="15" customHeight="1" s="10">
      <c r="A54" s="9">
        <f>IFERROR(INDEX('All products'!$A$2:$A$107,MATCH(49,'All products'!$Q$2:$Q$107,0))&amp;"","")</f>
        <v/>
      </c>
      <c r="B54" s="9">
        <f>IFERROR(INDEX('All products'!$B$2:$B$107,MATCH(49,'All products'!$Q$2:$Q$107,0))&amp;"","")</f>
        <v/>
      </c>
      <c r="C54" s="9">
        <f>IFERROR(INDEX('All products'!$C$2:$C$107,MATCH(49,'All products'!$Q$2:$Q$107,0))&amp;"","")</f>
        <v/>
      </c>
      <c r="D54" s="9">
        <f>IFERROR(INDEX('All products'!$D$2:$D$107,MATCH(49,'All products'!$Q$2:$Q$107,0))&amp;"","")</f>
        <v/>
      </c>
      <c r="E54" s="9">
        <f>IFERROR(INDEX('All products'!$E$2:$E$107,MATCH(49,'All products'!$Q$2:$Q$107,0))&amp;"","")</f>
        <v/>
      </c>
      <c r="F54" s="9">
        <f>IFERROR(INDEX('All products'!$F$2:$F$107,MATCH(49,'All products'!$Q$2:$Q$107,0))&amp;"","")</f>
        <v/>
      </c>
      <c r="G54" s="9">
        <f>IFERROR(INDEX('All products'!$G$2:$G$107,MATCH(49,'All products'!$Q$2:$Q$107,0))&amp;"","")</f>
        <v/>
      </c>
      <c r="H54" s="9">
        <f>IFERROR(INDEX('All products'!$H$2:$H$107,MATCH(49,'All products'!$Q$2:$Q$107,0))&amp;"","")</f>
        <v/>
      </c>
      <c r="I54" s="9">
        <f>IFERROR(INDEX('All products'!$I$2:$I$107,MATCH(49,'All products'!$Q$2:$Q$107,0))&amp;"","")</f>
        <v/>
      </c>
      <c r="J54" s="9">
        <f>IFERROR(INDEX('All products'!$J$2:$J$107,MATCH(49,'All products'!$Q$2:$Q$107,0))&amp;"","")</f>
        <v/>
      </c>
      <c r="K54" s="9">
        <f>IFERROR(INDEX('All products'!$K$2:$K$107,MATCH(49,'All products'!$Q$2:$Q$107,0))&amp;"","")</f>
        <v/>
      </c>
      <c r="L54" s="9">
        <f>IFERROR(INDEX('All products'!$L$2:$L$107,MATCH(49,'All products'!$Q$2:$Q$107,0))&amp;"","")</f>
        <v/>
      </c>
      <c r="M54" s="9">
        <f>IFERROR(INDEX('All products'!$M$2:$M$107,MATCH(49,'All products'!$Q$2:$Q$107,0))&amp;"","")</f>
        <v/>
      </c>
      <c r="N54" s="9">
        <f>IFERROR(INDEX('All products'!$N$2:$N$107,MATCH(49,'All products'!$Q$2:$Q$107,0))&amp;"","")</f>
        <v/>
      </c>
      <c r="O54" s="9">
        <f>IFERROR(HYPERLINK(INDEX('All products'!$O$2:$O$107,MATCH(49,'All products'!$Q$2:$Q$107,0))),"")</f>
        <v/>
      </c>
    </row>
    <row r="55" ht="15" customHeight="1" s="10">
      <c r="A55" s="9">
        <f>IFERROR(INDEX('All products'!$A$2:$A$107,MATCH(50,'All products'!$Q$2:$Q$107,0))&amp;"","")</f>
        <v/>
      </c>
      <c r="B55" s="9">
        <f>IFERROR(INDEX('All products'!$B$2:$B$107,MATCH(50,'All products'!$Q$2:$Q$107,0))&amp;"","")</f>
        <v/>
      </c>
      <c r="C55" s="9">
        <f>IFERROR(INDEX('All products'!$C$2:$C$107,MATCH(50,'All products'!$Q$2:$Q$107,0))&amp;"","")</f>
        <v/>
      </c>
      <c r="D55" s="9">
        <f>IFERROR(INDEX('All products'!$D$2:$D$107,MATCH(50,'All products'!$Q$2:$Q$107,0))&amp;"","")</f>
        <v/>
      </c>
      <c r="E55" s="9">
        <f>IFERROR(INDEX('All products'!$E$2:$E$107,MATCH(50,'All products'!$Q$2:$Q$107,0))&amp;"","")</f>
        <v/>
      </c>
      <c r="F55" s="9">
        <f>IFERROR(INDEX('All products'!$F$2:$F$107,MATCH(50,'All products'!$Q$2:$Q$107,0))&amp;"","")</f>
        <v/>
      </c>
      <c r="G55" s="9">
        <f>IFERROR(INDEX('All products'!$G$2:$G$107,MATCH(50,'All products'!$Q$2:$Q$107,0))&amp;"","")</f>
        <v/>
      </c>
      <c r="H55" s="9">
        <f>IFERROR(INDEX('All products'!$H$2:$H$107,MATCH(50,'All products'!$Q$2:$Q$107,0))&amp;"","")</f>
        <v/>
      </c>
      <c r="I55" s="9">
        <f>IFERROR(INDEX('All products'!$I$2:$I$107,MATCH(50,'All products'!$Q$2:$Q$107,0))&amp;"","")</f>
        <v/>
      </c>
      <c r="J55" s="9">
        <f>IFERROR(INDEX('All products'!$J$2:$J$107,MATCH(50,'All products'!$Q$2:$Q$107,0))&amp;"","")</f>
        <v/>
      </c>
      <c r="K55" s="9">
        <f>IFERROR(INDEX('All products'!$K$2:$K$107,MATCH(50,'All products'!$Q$2:$Q$107,0))&amp;"","")</f>
        <v/>
      </c>
      <c r="L55" s="9">
        <f>IFERROR(INDEX('All products'!$L$2:$L$107,MATCH(50,'All products'!$Q$2:$Q$107,0))&amp;"","")</f>
        <v/>
      </c>
      <c r="M55" s="9">
        <f>IFERROR(INDEX('All products'!$M$2:$M$107,MATCH(50,'All products'!$Q$2:$Q$107,0))&amp;"","")</f>
        <v/>
      </c>
      <c r="N55" s="9">
        <f>IFERROR(INDEX('All products'!$N$2:$N$107,MATCH(50,'All products'!$Q$2:$Q$107,0))&amp;"","")</f>
        <v/>
      </c>
      <c r="O55" s="9">
        <f>IFERROR(HYPERLINK(INDEX('All products'!$O$2:$O$107,MATCH(50,'All products'!$Q$2:$Q$107,0))),"")</f>
        <v/>
      </c>
    </row>
    <row r="56" ht="15" customHeight="1" s="10">
      <c r="A56" s="9">
        <f>IFERROR(INDEX('All products'!$A$2:$A$107,MATCH(51,'All products'!$Q$2:$Q$107,0))&amp;"","")</f>
        <v/>
      </c>
      <c r="B56" s="9">
        <f>IFERROR(INDEX('All products'!$B$2:$B$107,MATCH(51,'All products'!$Q$2:$Q$107,0))&amp;"","")</f>
        <v/>
      </c>
      <c r="C56" s="9">
        <f>IFERROR(INDEX('All products'!$C$2:$C$107,MATCH(51,'All products'!$Q$2:$Q$107,0))&amp;"","")</f>
        <v/>
      </c>
      <c r="D56" s="9">
        <f>IFERROR(INDEX('All products'!$D$2:$D$107,MATCH(51,'All products'!$Q$2:$Q$107,0))&amp;"","")</f>
        <v/>
      </c>
      <c r="E56" s="9">
        <f>IFERROR(INDEX('All products'!$E$2:$E$107,MATCH(51,'All products'!$Q$2:$Q$107,0))&amp;"","")</f>
        <v/>
      </c>
      <c r="F56" s="9">
        <f>IFERROR(INDEX('All products'!$F$2:$F$107,MATCH(51,'All products'!$Q$2:$Q$107,0))&amp;"","")</f>
        <v/>
      </c>
      <c r="G56" s="9">
        <f>IFERROR(INDEX('All products'!$G$2:$G$107,MATCH(51,'All products'!$Q$2:$Q$107,0))&amp;"","")</f>
        <v/>
      </c>
      <c r="H56" s="9">
        <f>IFERROR(INDEX('All products'!$H$2:$H$107,MATCH(51,'All products'!$Q$2:$Q$107,0))&amp;"","")</f>
        <v/>
      </c>
      <c r="I56" s="9">
        <f>IFERROR(INDEX('All products'!$I$2:$I$107,MATCH(51,'All products'!$Q$2:$Q$107,0))&amp;"","")</f>
        <v/>
      </c>
      <c r="J56" s="9">
        <f>IFERROR(INDEX('All products'!$J$2:$J$107,MATCH(51,'All products'!$Q$2:$Q$107,0))&amp;"","")</f>
        <v/>
      </c>
      <c r="K56" s="9">
        <f>IFERROR(INDEX('All products'!$K$2:$K$107,MATCH(51,'All products'!$Q$2:$Q$107,0))&amp;"","")</f>
        <v/>
      </c>
      <c r="L56" s="9">
        <f>IFERROR(INDEX('All products'!$L$2:$L$107,MATCH(51,'All products'!$Q$2:$Q$107,0))&amp;"","")</f>
        <v/>
      </c>
      <c r="M56" s="9">
        <f>IFERROR(INDEX('All products'!$M$2:$M$107,MATCH(51,'All products'!$Q$2:$Q$107,0))&amp;"","")</f>
        <v/>
      </c>
      <c r="N56" s="9">
        <f>IFERROR(INDEX('All products'!$N$2:$N$107,MATCH(51,'All products'!$Q$2:$Q$107,0))&amp;"","")</f>
        <v/>
      </c>
      <c r="O56" s="9">
        <f>IFERROR(HYPERLINK(INDEX('All products'!$O$2:$O$107,MATCH(51,'All products'!$Q$2:$Q$107,0))),"")</f>
        <v/>
      </c>
    </row>
    <row r="57" ht="15" customHeight="1" s="10">
      <c r="A57" s="9">
        <f>IFERROR(INDEX('All products'!$A$2:$A$107,MATCH(52,'All products'!$Q$2:$Q$107,0))&amp;"","")</f>
        <v/>
      </c>
      <c r="B57" s="9">
        <f>IFERROR(INDEX('All products'!$B$2:$B$107,MATCH(52,'All products'!$Q$2:$Q$107,0))&amp;"","")</f>
        <v/>
      </c>
      <c r="C57" s="9">
        <f>IFERROR(INDEX('All products'!$C$2:$C$107,MATCH(52,'All products'!$Q$2:$Q$107,0))&amp;"","")</f>
        <v/>
      </c>
      <c r="D57" s="9">
        <f>IFERROR(INDEX('All products'!$D$2:$D$107,MATCH(52,'All products'!$Q$2:$Q$107,0))&amp;"","")</f>
        <v/>
      </c>
      <c r="E57" s="9">
        <f>IFERROR(INDEX('All products'!$E$2:$E$107,MATCH(52,'All products'!$Q$2:$Q$107,0))&amp;"","")</f>
        <v/>
      </c>
      <c r="F57" s="9">
        <f>IFERROR(INDEX('All products'!$F$2:$F$107,MATCH(52,'All products'!$Q$2:$Q$107,0))&amp;"","")</f>
        <v/>
      </c>
      <c r="G57" s="9">
        <f>IFERROR(INDEX('All products'!$G$2:$G$107,MATCH(52,'All products'!$Q$2:$Q$107,0))&amp;"","")</f>
        <v/>
      </c>
      <c r="H57" s="9">
        <f>IFERROR(INDEX('All products'!$H$2:$H$107,MATCH(52,'All products'!$Q$2:$Q$107,0))&amp;"","")</f>
        <v/>
      </c>
      <c r="I57" s="9">
        <f>IFERROR(INDEX('All products'!$I$2:$I$107,MATCH(52,'All products'!$Q$2:$Q$107,0))&amp;"","")</f>
        <v/>
      </c>
      <c r="J57" s="9">
        <f>IFERROR(INDEX('All products'!$J$2:$J$107,MATCH(52,'All products'!$Q$2:$Q$107,0))&amp;"","")</f>
        <v/>
      </c>
      <c r="K57" s="9">
        <f>IFERROR(INDEX('All products'!$K$2:$K$107,MATCH(52,'All products'!$Q$2:$Q$107,0))&amp;"","")</f>
        <v/>
      </c>
      <c r="L57" s="9">
        <f>IFERROR(INDEX('All products'!$L$2:$L$107,MATCH(52,'All products'!$Q$2:$Q$107,0))&amp;"","")</f>
        <v/>
      </c>
      <c r="M57" s="9">
        <f>IFERROR(INDEX('All products'!$M$2:$M$107,MATCH(52,'All products'!$Q$2:$Q$107,0))&amp;"","")</f>
        <v/>
      </c>
      <c r="N57" s="9">
        <f>IFERROR(INDEX('All products'!$N$2:$N$107,MATCH(52,'All products'!$Q$2:$Q$107,0))&amp;"","")</f>
        <v/>
      </c>
      <c r="O57" s="9">
        <f>IFERROR(HYPERLINK(INDEX('All products'!$O$2:$O$107,MATCH(52,'All products'!$Q$2:$Q$107,0))),"")</f>
        <v/>
      </c>
    </row>
    <row r="58" ht="15" customHeight="1" s="10">
      <c r="A58" s="9">
        <f>IFERROR(INDEX('All products'!$A$2:$A$107,MATCH(53,'All products'!$Q$2:$Q$107,0))&amp;"","")</f>
        <v/>
      </c>
      <c r="B58" s="9">
        <f>IFERROR(INDEX('All products'!$B$2:$B$107,MATCH(53,'All products'!$Q$2:$Q$107,0))&amp;"","")</f>
        <v/>
      </c>
      <c r="C58" s="9">
        <f>IFERROR(INDEX('All products'!$C$2:$C$107,MATCH(53,'All products'!$Q$2:$Q$107,0))&amp;"","")</f>
        <v/>
      </c>
      <c r="D58" s="9">
        <f>IFERROR(INDEX('All products'!$D$2:$D$107,MATCH(53,'All products'!$Q$2:$Q$107,0))&amp;"","")</f>
        <v/>
      </c>
      <c r="E58" s="9">
        <f>IFERROR(INDEX('All products'!$E$2:$E$107,MATCH(53,'All products'!$Q$2:$Q$107,0))&amp;"","")</f>
        <v/>
      </c>
      <c r="F58" s="9">
        <f>IFERROR(INDEX('All products'!$F$2:$F$107,MATCH(53,'All products'!$Q$2:$Q$107,0))&amp;"","")</f>
        <v/>
      </c>
      <c r="G58" s="9">
        <f>IFERROR(INDEX('All products'!$G$2:$G$107,MATCH(53,'All products'!$Q$2:$Q$107,0))&amp;"","")</f>
        <v/>
      </c>
      <c r="H58" s="9">
        <f>IFERROR(INDEX('All products'!$H$2:$H$107,MATCH(53,'All products'!$Q$2:$Q$107,0))&amp;"","")</f>
        <v/>
      </c>
      <c r="I58" s="9">
        <f>IFERROR(INDEX('All products'!$I$2:$I$107,MATCH(53,'All products'!$Q$2:$Q$107,0))&amp;"","")</f>
        <v/>
      </c>
      <c r="J58" s="9">
        <f>IFERROR(INDEX('All products'!$J$2:$J$107,MATCH(53,'All products'!$Q$2:$Q$107,0))&amp;"","")</f>
        <v/>
      </c>
      <c r="K58" s="9">
        <f>IFERROR(INDEX('All products'!$K$2:$K$107,MATCH(53,'All products'!$Q$2:$Q$107,0))&amp;"","")</f>
        <v/>
      </c>
      <c r="L58" s="9">
        <f>IFERROR(INDEX('All products'!$L$2:$L$107,MATCH(53,'All products'!$Q$2:$Q$107,0))&amp;"","")</f>
        <v/>
      </c>
      <c r="M58" s="9">
        <f>IFERROR(INDEX('All products'!$M$2:$M$107,MATCH(53,'All products'!$Q$2:$Q$107,0))&amp;"","")</f>
        <v/>
      </c>
      <c r="N58" s="9">
        <f>IFERROR(INDEX('All products'!$N$2:$N$107,MATCH(53,'All products'!$Q$2:$Q$107,0))&amp;"","")</f>
        <v/>
      </c>
      <c r="O58" s="9">
        <f>IFERROR(HYPERLINK(INDEX('All products'!$O$2:$O$107,MATCH(53,'All products'!$Q$2:$Q$107,0))),"")</f>
        <v/>
      </c>
    </row>
    <row r="59" ht="15" customHeight="1" s="10">
      <c r="A59" s="9">
        <f>IFERROR(INDEX('All products'!$A$2:$A$107,MATCH(54,'All products'!$Q$2:$Q$107,0))&amp;"","")</f>
        <v/>
      </c>
      <c r="B59" s="9">
        <f>IFERROR(INDEX('All products'!$B$2:$B$107,MATCH(54,'All products'!$Q$2:$Q$107,0))&amp;"","")</f>
        <v/>
      </c>
      <c r="C59" s="9">
        <f>IFERROR(INDEX('All products'!$C$2:$C$107,MATCH(54,'All products'!$Q$2:$Q$107,0))&amp;"","")</f>
        <v/>
      </c>
      <c r="D59" s="9">
        <f>IFERROR(INDEX('All products'!$D$2:$D$107,MATCH(54,'All products'!$Q$2:$Q$107,0))&amp;"","")</f>
        <v/>
      </c>
      <c r="E59" s="9">
        <f>IFERROR(INDEX('All products'!$E$2:$E$107,MATCH(54,'All products'!$Q$2:$Q$107,0))&amp;"","")</f>
        <v/>
      </c>
      <c r="F59" s="9">
        <f>IFERROR(INDEX('All products'!$F$2:$F$107,MATCH(54,'All products'!$Q$2:$Q$107,0))&amp;"","")</f>
        <v/>
      </c>
      <c r="G59" s="9">
        <f>IFERROR(INDEX('All products'!$G$2:$G$107,MATCH(54,'All products'!$Q$2:$Q$107,0))&amp;"","")</f>
        <v/>
      </c>
      <c r="H59" s="9">
        <f>IFERROR(INDEX('All products'!$H$2:$H$107,MATCH(54,'All products'!$Q$2:$Q$107,0))&amp;"","")</f>
        <v/>
      </c>
      <c r="I59" s="9">
        <f>IFERROR(INDEX('All products'!$I$2:$I$107,MATCH(54,'All products'!$Q$2:$Q$107,0))&amp;"","")</f>
        <v/>
      </c>
      <c r="J59" s="9">
        <f>IFERROR(INDEX('All products'!$J$2:$J$107,MATCH(54,'All products'!$Q$2:$Q$107,0))&amp;"","")</f>
        <v/>
      </c>
      <c r="K59" s="9">
        <f>IFERROR(INDEX('All products'!$K$2:$K$107,MATCH(54,'All products'!$Q$2:$Q$107,0))&amp;"","")</f>
        <v/>
      </c>
      <c r="L59" s="9">
        <f>IFERROR(INDEX('All products'!$L$2:$L$107,MATCH(54,'All products'!$Q$2:$Q$107,0))&amp;"","")</f>
        <v/>
      </c>
      <c r="M59" s="9">
        <f>IFERROR(INDEX('All products'!$M$2:$M$107,MATCH(54,'All products'!$Q$2:$Q$107,0))&amp;"","")</f>
        <v/>
      </c>
      <c r="N59" s="9">
        <f>IFERROR(INDEX('All products'!$N$2:$N$107,MATCH(54,'All products'!$Q$2:$Q$107,0))&amp;"","")</f>
        <v/>
      </c>
      <c r="O59" s="9">
        <f>IFERROR(HYPERLINK(INDEX('All products'!$O$2:$O$107,MATCH(54,'All products'!$Q$2:$Q$107,0))),"")</f>
        <v/>
      </c>
    </row>
    <row r="60" ht="15" customHeight="1" s="10">
      <c r="A60" s="9">
        <f>IFERROR(INDEX('All products'!$A$2:$A$107,MATCH(55,'All products'!$Q$2:$Q$107,0))&amp;"","")</f>
        <v/>
      </c>
      <c r="B60" s="9">
        <f>IFERROR(INDEX('All products'!$B$2:$B$107,MATCH(55,'All products'!$Q$2:$Q$107,0))&amp;"","")</f>
        <v/>
      </c>
      <c r="C60" s="9">
        <f>IFERROR(INDEX('All products'!$C$2:$C$107,MATCH(55,'All products'!$Q$2:$Q$107,0))&amp;"","")</f>
        <v/>
      </c>
      <c r="D60" s="9">
        <f>IFERROR(INDEX('All products'!$D$2:$D$107,MATCH(55,'All products'!$Q$2:$Q$107,0))&amp;"","")</f>
        <v/>
      </c>
      <c r="E60" s="9">
        <f>IFERROR(INDEX('All products'!$E$2:$E$107,MATCH(55,'All products'!$Q$2:$Q$107,0))&amp;"","")</f>
        <v/>
      </c>
      <c r="F60" s="9">
        <f>IFERROR(INDEX('All products'!$F$2:$F$107,MATCH(55,'All products'!$Q$2:$Q$107,0))&amp;"","")</f>
        <v/>
      </c>
      <c r="G60" s="9">
        <f>IFERROR(INDEX('All products'!$G$2:$G$107,MATCH(55,'All products'!$Q$2:$Q$107,0))&amp;"","")</f>
        <v/>
      </c>
      <c r="H60" s="9">
        <f>IFERROR(INDEX('All products'!$H$2:$H$107,MATCH(55,'All products'!$Q$2:$Q$107,0))&amp;"","")</f>
        <v/>
      </c>
      <c r="I60" s="9">
        <f>IFERROR(INDEX('All products'!$I$2:$I$107,MATCH(55,'All products'!$Q$2:$Q$107,0))&amp;"","")</f>
        <v/>
      </c>
      <c r="J60" s="9">
        <f>IFERROR(INDEX('All products'!$J$2:$J$107,MATCH(55,'All products'!$Q$2:$Q$107,0))&amp;"","")</f>
        <v/>
      </c>
      <c r="K60" s="9">
        <f>IFERROR(INDEX('All products'!$K$2:$K$107,MATCH(55,'All products'!$Q$2:$Q$107,0))&amp;"","")</f>
        <v/>
      </c>
      <c r="L60" s="9">
        <f>IFERROR(INDEX('All products'!$L$2:$L$107,MATCH(55,'All products'!$Q$2:$Q$107,0))&amp;"","")</f>
        <v/>
      </c>
      <c r="M60" s="9">
        <f>IFERROR(INDEX('All products'!$M$2:$M$107,MATCH(55,'All products'!$Q$2:$Q$107,0))&amp;"","")</f>
        <v/>
      </c>
      <c r="N60" s="9">
        <f>IFERROR(INDEX('All products'!$N$2:$N$107,MATCH(55,'All products'!$Q$2:$Q$107,0))&amp;"","")</f>
        <v/>
      </c>
      <c r="O60" s="9">
        <f>IFERROR(HYPERLINK(INDEX('All products'!$O$2:$O$107,MATCH(55,'All products'!$Q$2:$Q$107,0))),"")</f>
        <v/>
      </c>
    </row>
    <row r="61" ht="15" customHeight="1" s="10">
      <c r="A61" s="9">
        <f>IFERROR(INDEX('All products'!$A$2:$A$107,MATCH(56,'All products'!$Q$2:$Q$107,0))&amp;"","")</f>
        <v/>
      </c>
      <c r="B61" s="9">
        <f>IFERROR(INDEX('All products'!$B$2:$B$107,MATCH(56,'All products'!$Q$2:$Q$107,0))&amp;"","")</f>
        <v/>
      </c>
      <c r="C61" s="9">
        <f>IFERROR(INDEX('All products'!$C$2:$C$107,MATCH(56,'All products'!$Q$2:$Q$107,0))&amp;"","")</f>
        <v/>
      </c>
      <c r="D61" s="9">
        <f>IFERROR(INDEX('All products'!$D$2:$D$107,MATCH(56,'All products'!$Q$2:$Q$107,0))&amp;"","")</f>
        <v/>
      </c>
      <c r="E61" s="9">
        <f>IFERROR(INDEX('All products'!$E$2:$E$107,MATCH(56,'All products'!$Q$2:$Q$107,0))&amp;"","")</f>
        <v/>
      </c>
      <c r="F61" s="9">
        <f>IFERROR(INDEX('All products'!$F$2:$F$107,MATCH(56,'All products'!$Q$2:$Q$107,0))&amp;"","")</f>
        <v/>
      </c>
      <c r="G61" s="9">
        <f>IFERROR(INDEX('All products'!$G$2:$G$107,MATCH(56,'All products'!$Q$2:$Q$107,0))&amp;"","")</f>
        <v/>
      </c>
      <c r="H61" s="9">
        <f>IFERROR(INDEX('All products'!$H$2:$H$107,MATCH(56,'All products'!$Q$2:$Q$107,0))&amp;"","")</f>
        <v/>
      </c>
      <c r="I61" s="9">
        <f>IFERROR(INDEX('All products'!$I$2:$I$107,MATCH(56,'All products'!$Q$2:$Q$107,0))&amp;"","")</f>
        <v/>
      </c>
      <c r="J61" s="9">
        <f>IFERROR(INDEX('All products'!$J$2:$J$107,MATCH(56,'All products'!$Q$2:$Q$107,0))&amp;"","")</f>
        <v/>
      </c>
      <c r="K61" s="9">
        <f>IFERROR(INDEX('All products'!$K$2:$K$107,MATCH(56,'All products'!$Q$2:$Q$107,0))&amp;"","")</f>
        <v/>
      </c>
      <c r="L61" s="9">
        <f>IFERROR(INDEX('All products'!$L$2:$L$107,MATCH(56,'All products'!$Q$2:$Q$107,0))&amp;"","")</f>
        <v/>
      </c>
      <c r="M61" s="9">
        <f>IFERROR(INDEX('All products'!$M$2:$M$107,MATCH(56,'All products'!$Q$2:$Q$107,0))&amp;"","")</f>
        <v/>
      </c>
      <c r="N61" s="9">
        <f>IFERROR(INDEX('All products'!$N$2:$N$107,MATCH(56,'All products'!$Q$2:$Q$107,0))&amp;"","")</f>
        <v/>
      </c>
      <c r="O61" s="9">
        <f>IFERROR(HYPERLINK(INDEX('All products'!$O$2:$O$107,MATCH(56,'All products'!$Q$2:$Q$107,0))),"")</f>
        <v/>
      </c>
    </row>
    <row r="62" ht="15" customHeight="1" s="10">
      <c r="A62" s="9">
        <f>IFERROR(INDEX('All products'!$A$2:$A$107,MATCH(57,'All products'!$Q$2:$Q$107,0))&amp;"","")</f>
        <v/>
      </c>
      <c r="B62" s="9">
        <f>IFERROR(INDEX('All products'!$B$2:$B$107,MATCH(57,'All products'!$Q$2:$Q$107,0))&amp;"","")</f>
        <v/>
      </c>
      <c r="C62" s="9">
        <f>IFERROR(INDEX('All products'!$C$2:$C$107,MATCH(57,'All products'!$Q$2:$Q$107,0))&amp;"","")</f>
        <v/>
      </c>
      <c r="D62" s="9">
        <f>IFERROR(INDEX('All products'!$D$2:$D$107,MATCH(57,'All products'!$Q$2:$Q$107,0))&amp;"","")</f>
        <v/>
      </c>
      <c r="E62" s="9">
        <f>IFERROR(INDEX('All products'!$E$2:$E$107,MATCH(57,'All products'!$Q$2:$Q$107,0))&amp;"","")</f>
        <v/>
      </c>
      <c r="F62" s="9">
        <f>IFERROR(INDEX('All products'!$F$2:$F$107,MATCH(57,'All products'!$Q$2:$Q$107,0))&amp;"","")</f>
        <v/>
      </c>
      <c r="G62" s="9">
        <f>IFERROR(INDEX('All products'!$G$2:$G$107,MATCH(57,'All products'!$Q$2:$Q$107,0))&amp;"","")</f>
        <v/>
      </c>
      <c r="H62" s="9">
        <f>IFERROR(INDEX('All products'!$H$2:$H$107,MATCH(57,'All products'!$Q$2:$Q$107,0))&amp;"","")</f>
        <v/>
      </c>
      <c r="I62" s="9">
        <f>IFERROR(INDEX('All products'!$I$2:$I$107,MATCH(57,'All products'!$Q$2:$Q$107,0))&amp;"","")</f>
        <v/>
      </c>
      <c r="J62" s="9">
        <f>IFERROR(INDEX('All products'!$J$2:$J$107,MATCH(57,'All products'!$Q$2:$Q$107,0))&amp;"","")</f>
        <v/>
      </c>
      <c r="K62" s="9">
        <f>IFERROR(INDEX('All products'!$K$2:$K$107,MATCH(57,'All products'!$Q$2:$Q$107,0))&amp;"","")</f>
        <v/>
      </c>
      <c r="L62" s="9">
        <f>IFERROR(INDEX('All products'!$L$2:$L$107,MATCH(57,'All products'!$Q$2:$Q$107,0))&amp;"","")</f>
        <v/>
      </c>
      <c r="M62" s="9">
        <f>IFERROR(INDEX('All products'!$M$2:$M$107,MATCH(57,'All products'!$Q$2:$Q$107,0))&amp;"","")</f>
        <v/>
      </c>
      <c r="N62" s="9">
        <f>IFERROR(INDEX('All products'!$N$2:$N$107,MATCH(57,'All products'!$Q$2:$Q$107,0))&amp;"","")</f>
        <v/>
      </c>
      <c r="O62" s="9">
        <f>IFERROR(HYPERLINK(INDEX('All products'!$O$2:$O$107,MATCH(57,'All products'!$Q$2:$Q$107,0))),"")</f>
        <v/>
      </c>
    </row>
    <row r="63" ht="15" customHeight="1" s="10">
      <c r="A63" s="9">
        <f>IFERROR(INDEX('All products'!$A$2:$A$107,MATCH(58,'All products'!$Q$2:$Q$107,0))&amp;"","")</f>
        <v/>
      </c>
      <c r="B63" s="9">
        <f>IFERROR(INDEX('All products'!$B$2:$B$107,MATCH(58,'All products'!$Q$2:$Q$107,0))&amp;"","")</f>
        <v/>
      </c>
      <c r="C63" s="9">
        <f>IFERROR(INDEX('All products'!$C$2:$C$107,MATCH(58,'All products'!$Q$2:$Q$107,0))&amp;"","")</f>
        <v/>
      </c>
      <c r="D63" s="9">
        <f>IFERROR(INDEX('All products'!$D$2:$D$107,MATCH(58,'All products'!$Q$2:$Q$107,0))&amp;"","")</f>
        <v/>
      </c>
      <c r="E63" s="9">
        <f>IFERROR(INDEX('All products'!$E$2:$E$107,MATCH(58,'All products'!$Q$2:$Q$107,0))&amp;"","")</f>
        <v/>
      </c>
      <c r="F63" s="9">
        <f>IFERROR(INDEX('All products'!$F$2:$F$107,MATCH(58,'All products'!$Q$2:$Q$107,0))&amp;"","")</f>
        <v/>
      </c>
      <c r="G63" s="9">
        <f>IFERROR(INDEX('All products'!$G$2:$G$107,MATCH(58,'All products'!$Q$2:$Q$107,0))&amp;"","")</f>
        <v/>
      </c>
      <c r="H63" s="9">
        <f>IFERROR(INDEX('All products'!$H$2:$H$107,MATCH(58,'All products'!$Q$2:$Q$107,0))&amp;"","")</f>
        <v/>
      </c>
      <c r="I63" s="9">
        <f>IFERROR(INDEX('All products'!$I$2:$I$107,MATCH(58,'All products'!$Q$2:$Q$107,0))&amp;"","")</f>
        <v/>
      </c>
      <c r="J63" s="9">
        <f>IFERROR(INDEX('All products'!$J$2:$J$107,MATCH(58,'All products'!$Q$2:$Q$107,0))&amp;"","")</f>
        <v/>
      </c>
      <c r="K63" s="9">
        <f>IFERROR(INDEX('All products'!$K$2:$K$107,MATCH(58,'All products'!$Q$2:$Q$107,0))&amp;"","")</f>
        <v/>
      </c>
      <c r="L63" s="9">
        <f>IFERROR(INDEX('All products'!$L$2:$L$107,MATCH(58,'All products'!$Q$2:$Q$107,0))&amp;"","")</f>
        <v/>
      </c>
      <c r="M63" s="9">
        <f>IFERROR(INDEX('All products'!$M$2:$M$107,MATCH(58,'All products'!$Q$2:$Q$107,0))&amp;"","")</f>
        <v/>
      </c>
      <c r="N63" s="9">
        <f>IFERROR(INDEX('All products'!$N$2:$N$107,MATCH(58,'All products'!$Q$2:$Q$107,0))&amp;"","")</f>
        <v/>
      </c>
      <c r="O63" s="9">
        <f>IFERROR(HYPERLINK(INDEX('All products'!$O$2:$O$107,MATCH(58,'All products'!$Q$2:$Q$107,0))),"")</f>
        <v/>
      </c>
    </row>
    <row r="64" ht="15" customHeight="1" s="10">
      <c r="A64" s="9">
        <f>IFERROR(INDEX('All products'!$A$2:$A$107,MATCH(59,'All products'!$Q$2:$Q$107,0))&amp;"","")</f>
        <v/>
      </c>
      <c r="B64" s="9">
        <f>IFERROR(INDEX('All products'!$B$2:$B$107,MATCH(59,'All products'!$Q$2:$Q$107,0))&amp;"","")</f>
        <v/>
      </c>
      <c r="C64" s="9">
        <f>IFERROR(INDEX('All products'!$C$2:$C$107,MATCH(59,'All products'!$Q$2:$Q$107,0))&amp;"","")</f>
        <v/>
      </c>
      <c r="D64" s="9">
        <f>IFERROR(INDEX('All products'!$D$2:$D$107,MATCH(59,'All products'!$Q$2:$Q$107,0))&amp;"","")</f>
        <v/>
      </c>
      <c r="E64" s="9">
        <f>IFERROR(INDEX('All products'!$E$2:$E$107,MATCH(59,'All products'!$Q$2:$Q$107,0))&amp;"","")</f>
        <v/>
      </c>
      <c r="F64" s="9">
        <f>IFERROR(INDEX('All products'!$F$2:$F$107,MATCH(59,'All products'!$Q$2:$Q$107,0))&amp;"","")</f>
        <v/>
      </c>
      <c r="G64" s="9">
        <f>IFERROR(INDEX('All products'!$G$2:$G$107,MATCH(59,'All products'!$Q$2:$Q$107,0))&amp;"","")</f>
        <v/>
      </c>
      <c r="H64" s="9">
        <f>IFERROR(INDEX('All products'!$H$2:$H$107,MATCH(59,'All products'!$Q$2:$Q$107,0))&amp;"","")</f>
        <v/>
      </c>
      <c r="I64" s="9">
        <f>IFERROR(INDEX('All products'!$I$2:$I$107,MATCH(59,'All products'!$Q$2:$Q$107,0))&amp;"","")</f>
        <v/>
      </c>
      <c r="J64" s="9">
        <f>IFERROR(INDEX('All products'!$J$2:$J$107,MATCH(59,'All products'!$Q$2:$Q$107,0))&amp;"","")</f>
        <v/>
      </c>
      <c r="K64" s="9">
        <f>IFERROR(INDEX('All products'!$K$2:$K$107,MATCH(59,'All products'!$Q$2:$Q$107,0))&amp;"","")</f>
        <v/>
      </c>
      <c r="L64" s="9">
        <f>IFERROR(INDEX('All products'!$L$2:$L$107,MATCH(59,'All products'!$Q$2:$Q$107,0))&amp;"","")</f>
        <v/>
      </c>
      <c r="M64" s="9">
        <f>IFERROR(INDEX('All products'!$M$2:$M$107,MATCH(59,'All products'!$Q$2:$Q$107,0))&amp;"","")</f>
        <v/>
      </c>
      <c r="N64" s="9">
        <f>IFERROR(INDEX('All products'!$N$2:$N$107,MATCH(59,'All products'!$Q$2:$Q$107,0))&amp;"","")</f>
        <v/>
      </c>
      <c r="O64" s="9">
        <f>IFERROR(HYPERLINK(INDEX('All products'!$O$2:$O$107,MATCH(59,'All products'!$Q$2:$Q$107,0))),"")</f>
        <v/>
      </c>
    </row>
    <row r="65" ht="15" customHeight="1" s="10">
      <c r="A65" s="9">
        <f>IFERROR(INDEX('All products'!$A$2:$A$107,MATCH(60,'All products'!$Q$2:$Q$107,0))&amp;"","")</f>
        <v/>
      </c>
      <c r="B65" s="9">
        <f>IFERROR(INDEX('All products'!$B$2:$B$107,MATCH(60,'All products'!$Q$2:$Q$107,0))&amp;"","")</f>
        <v/>
      </c>
      <c r="C65" s="9">
        <f>IFERROR(INDEX('All products'!$C$2:$C$107,MATCH(60,'All products'!$Q$2:$Q$107,0))&amp;"","")</f>
        <v/>
      </c>
      <c r="D65" s="9">
        <f>IFERROR(INDEX('All products'!$D$2:$D$107,MATCH(60,'All products'!$Q$2:$Q$107,0))&amp;"","")</f>
        <v/>
      </c>
      <c r="E65" s="9">
        <f>IFERROR(INDEX('All products'!$E$2:$E$107,MATCH(60,'All products'!$Q$2:$Q$107,0))&amp;"","")</f>
        <v/>
      </c>
      <c r="F65" s="9">
        <f>IFERROR(INDEX('All products'!$F$2:$F$107,MATCH(60,'All products'!$Q$2:$Q$107,0))&amp;"","")</f>
        <v/>
      </c>
      <c r="G65" s="9">
        <f>IFERROR(INDEX('All products'!$G$2:$G$107,MATCH(60,'All products'!$Q$2:$Q$107,0))&amp;"","")</f>
        <v/>
      </c>
      <c r="H65" s="9">
        <f>IFERROR(INDEX('All products'!$H$2:$H$107,MATCH(60,'All products'!$Q$2:$Q$107,0))&amp;"","")</f>
        <v/>
      </c>
      <c r="I65" s="9">
        <f>IFERROR(INDEX('All products'!$I$2:$I$107,MATCH(60,'All products'!$Q$2:$Q$107,0))&amp;"","")</f>
        <v/>
      </c>
      <c r="J65" s="9">
        <f>IFERROR(INDEX('All products'!$J$2:$J$107,MATCH(60,'All products'!$Q$2:$Q$107,0))&amp;"","")</f>
        <v/>
      </c>
      <c r="K65" s="9">
        <f>IFERROR(INDEX('All products'!$K$2:$K$107,MATCH(60,'All products'!$Q$2:$Q$107,0))&amp;"","")</f>
        <v/>
      </c>
      <c r="L65" s="9">
        <f>IFERROR(INDEX('All products'!$L$2:$L$107,MATCH(60,'All products'!$Q$2:$Q$107,0))&amp;"","")</f>
        <v/>
      </c>
      <c r="M65" s="9">
        <f>IFERROR(INDEX('All products'!$M$2:$M$107,MATCH(60,'All products'!$Q$2:$Q$107,0))&amp;"","")</f>
        <v/>
      </c>
      <c r="N65" s="9">
        <f>IFERROR(INDEX('All products'!$N$2:$N$107,MATCH(60,'All products'!$Q$2:$Q$107,0))&amp;"","")</f>
        <v/>
      </c>
      <c r="O65" s="9">
        <f>IFERROR(HYPERLINK(INDEX('All products'!$O$2:$O$107,MATCH(60,'All products'!$Q$2:$Q$107,0))),"")</f>
        <v/>
      </c>
    </row>
    <row r="66" ht="15" customHeight="1" s="10">
      <c r="A66" s="9">
        <f>IFERROR(INDEX('All products'!$A$2:$A$107,MATCH(61,'All products'!$Q$2:$Q$107,0))&amp;"","")</f>
        <v/>
      </c>
      <c r="B66" s="9">
        <f>IFERROR(INDEX('All products'!$B$2:$B$107,MATCH(61,'All products'!$Q$2:$Q$107,0))&amp;"","")</f>
        <v/>
      </c>
      <c r="C66" s="9">
        <f>IFERROR(INDEX('All products'!$C$2:$C$107,MATCH(61,'All products'!$Q$2:$Q$107,0))&amp;"","")</f>
        <v/>
      </c>
      <c r="D66" s="9">
        <f>IFERROR(INDEX('All products'!$D$2:$D$107,MATCH(61,'All products'!$Q$2:$Q$107,0))&amp;"","")</f>
        <v/>
      </c>
      <c r="E66" s="9">
        <f>IFERROR(INDEX('All products'!$E$2:$E$107,MATCH(61,'All products'!$Q$2:$Q$107,0))&amp;"","")</f>
        <v/>
      </c>
      <c r="F66" s="9">
        <f>IFERROR(INDEX('All products'!$F$2:$F$107,MATCH(61,'All products'!$Q$2:$Q$107,0))&amp;"","")</f>
        <v/>
      </c>
      <c r="G66" s="9">
        <f>IFERROR(INDEX('All products'!$G$2:$G$107,MATCH(61,'All products'!$Q$2:$Q$107,0))&amp;"","")</f>
        <v/>
      </c>
      <c r="H66" s="9">
        <f>IFERROR(INDEX('All products'!$H$2:$H$107,MATCH(61,'All products'!$Q$2:$Q$107,0))&amp;"","")</f>
        <v/>
      </c>
      <c r="I66" s="9">
        <f>IFERROR(INDEX('All products'!$I$2:$I$107,MATCH(61,'All products'!$Q$2:$Q$107,0))&amp;"","")</f>
        <v/>
      </c>
      <c r="J66" s="9">
        <f>IFERROR(INDEX('All products'!$J$2:$J$107,MATCH(61,'All products'!$Q$2:$Q$107,0))&amp;"","")</f>
        <v/>
      </c>
      <c r="K66" s="9">
        <f>IFERROR(INDEX('All products'!$K$2:$K$107,MATCH(61,'All products'!$Q$2:$Q$107,0))&amp;"","")</f>
        <v/>
      </c>
      <c r="L66" s="9">
        <f>IFERROR(INDEX('All products'!$L$2:$L$107,MATCH(61,'All products'!$Q$2:$Q$107,0))&amp;"","")</f>
        <v/>
      </c>
      <c r="M66" s="9">
        <f>IFERROR(INDEX('All products'!$M$2:$M$107,MATCH(61,'All products'!$Q$2:$Q$107,0))&amp;"","")</f>
        <v/>
      </c>
      <c r="N66" s="9">
        <f>IFERROR(INDEX('All products'!$N$2:$N$107,MATCH(61,'All products'!$Q$2:$Q$107,0))&amp;"","")</f>
        <v/>
      </c>
      <c r="O66" s="9">
        <f>IFERROR(HYPERLINK(INDEX('All products'!$O$2:$O$107,MATCH(61,'All products'!$Q$2:$Q$107,0))),"")</f>
        <v/>
      </c>
    </row>
    <row r="67" ht="15" customHeight="1" s="10">
      <c r="A67" s="9">
        <f>IFERROR(INDEX('All products'!$A$2:$A$107,MATCH(62,'All products'!$Q$2:$Q$107,0))&amp;"","")</f>
        <v/>
      </c>
      <c r="B67" s="9">
        <f>IFERROR(INDEX('All products'!$B$2:$B$107,MATCH(62,'All products'!$Q$2:$Q$107,0))&amp;"","")</f>
        <v/>
      </c>
      <c r="C67" s="9">
        <f>IFERROR(INDEX('All products'!$C$2:$C$107,MATCH(62,'All products'!$Q$2:$Q$107,0))&amp;"","")</f>
        <v/>
      </c>
      <c r="D67" s="9">
        <f>IFERROR(INDEX('All products'!$D$2:$D$107,MATCH(62,'All products'!$Q$2:$Q$107,0))&amp;"","")</f>
        <v/>
      </c>
      <c r="E67" s="9">
        <f>IFERROR(INDEX('All products'!$E$2:$E$107,MATCH(62,'All products'!$Q$2:$Q$107,0))&amp;"","")</f>
        <v/>
      </c>
      <c r="F67" s="9">
        <f>IFERROR(INDEX('All products'!$F$2:$F$107,MATCH(62,'All products'!$Q$2:$Q$107,0))&amp;"","")</f>
        <v/>
      </c>
      <c r="G67" s="9">
        <f>IFERROR(INDEX('All products'!$G$2:$G$107,MATCH(62,'All products'!$Q$2:$Q$107,0))&amp;"","")</f>
        <v/>
      </c>
      <c r="H67" s="9">
        <f>IFERROR(INDEX('All products'!$H$2:$H$107,MATCH(62,'All products'!$Q$2:$Q$107,0))&amp;"","")</f>
        <v/>
      </c>
      <c r="I67" s="9">
        <f>IFERROR(INDEX('All products'!$I$2:$I$107,MATCH(62,'All products'!$Q$2:$Q$107,0))&amp;"","")</f>
        <v/>
      </c>
      <c r="J67" s="9">
        <f>IFERROR(INDEX('All products'!$J$2:$J$107,MATCH(62,'All products'!$Q$2:$Q$107,0))&amp;"","")</f>
        <v/>
      </c>
      <c r="K67" s="9">
        <f>IFERROR(INDEX('All products'!$K$2:$K$107,MATCH(62,'All products'!$Q$2:$Q$107,0))&amp;"","")</f>
        <v/>
      </c>
      <c r="L67" s="9">
        <f>IFERROR(INDEX('All products'!$L$2:$L$107,MATCH(62,'All products'!$Q$2:$Q$107,0))&amp;"","")</f>
        <v/>
      </c>
      <c r="M67" s="9">
        <f>IFERROR(INDEX('All products'!$M$2:$M$107,MATCH(62,'All products'!$Q$2:$Q$107,0))&amp;"","")</f>
        <v/>
      </c>
      <c r="N67" s="9">
        <f>IFERROR(INDEX('All products'!$N$2:$N$107,MATCH(62,'All products'!$Q$2:$Q$107,0))&amp;"","")</f>
        <v/>
      </c>
      <c r="O67" s="9">
        <f>IFERROR(HYPERLINK(INDEX('All products'!$O$2:$O$107,MATCH(62,'All products'!$Q$2:$Q$107,0))),"")</f>
        <v/>
      </c>
    </row>
    <row r="68" ht="15" customHeight="1" s="10">
      <c r="A68" s="9">
        <f>IFERROR(INDEX('All products'!$A$2:$A$107,MATCH(63,'All products'!$Q$2:$Q$107,0))&amp;"","")</f>
        <v/>
      </c>
      <c r="B68" s="9">
        <f>IFERROR(INDEX('All products'!$B$2:$B$107,MATCH(63,'All products'!$Q$2:$Q$107,0))&amp;"","")</f>
        <v/>
      </c>
      <c r="C68" s="9">
        <f>IFERROR(INDEX('All products'!$C$2:$C$107,MATCH(63,'All products'!$Q$2:$Q$107,0))&amp;"","")</f>
        <v/>
      </c>
      <c r="D68" s="9">
        <f>IFERROR(INDEX('All products'!$D$2:$D$107,MATCH(63,'All products'!$Q$2:$Q$107,0))&amp;"","")</f>
        <v/>
      </c>
      <c r="E68" s="9">
        <f>IFERROR(INDEX('All products'!$E$2:$E$107,MATCH(63,'All products'!$Q$2:$Q$107,0))&amp;"","")</f>
        <v/>
      </c>
      <c r="F68" s="9">
        <f>IFERROR(INDEX('All products'!$F$2:$F$107,MATCH(63,'All products'!$Q$2:$Q$107,0))&amp;"","")</f>
        <v/>
      </c>
      <c r="G68" s="9">
        <f>IFERROR(INDEX('All products'!$G$2:$G$107,MATCH(63,'All products'!$Q$2:$Q$107,0))&amp;"","")</f>
        <v/>
      </c>
      <c r="H68" s="9">
        <f>IFERROR(INDEX('All products'!$H$2:$H$107,MATCH(63,'All products'!$Q$2:$Q$107,0))&amp;"","")</f>
        <v/>
      </c>
      <c r="I68" s="9">
        <f>IFERROR(INDEX('All products'!$I$2:$I$107,MATCH(63,'All products'!$Q$2:$Q$107,0))&amp;"","")</f>
        <v/>
      </c>
      <c r="J68" s="9">
        <f>IFERROR(INDEX('All products'!$J$2:$J$107,MATCH(63,'All products'!$Q$2:$Q$107,0))&amp;"","")</f>
        <v/>
      </c>
      <c r="K68" s="9">
        <f>IFERROR(INDEX('All products'!$K$2:$K$107,MATCH(63,'All products'!$Q$2:$Q$107,0))&amp;"","")</f>
        <v/>
      </c>
      <c r="L68" s="9">
        <f>IFERROR(INDEX('All products'!$L$2:$L$107,MATCH(63,'All products'!$Q$2:$Q$107,0))&amp;"","")</f>
        <v/>
      </c>
      <c r="M68" s="9">
        <f>IFERROR(INDEX('All products'!$M$2:$M$107,MATCH(63,'All products'!$Q$2:$Q$107,0))&amp;"","")</f>
        <v/>
      </c>
      <c r="N68" s="9">
        <f>IFERROR(INDEX('All products'!$N$2:$N$107,MATCH(63,'All products'!$Q$2:$Q$107,0))&amp;"","")</f>
        <v/>
      </c>
      <c r="O68" s="9">
        <f>IFERROR(HYPERLINK(INDEX('All products'!$O$2:$O$107,MATCH(63,'All products'!$Q$2:$Q$107,0))),"")</f>
        <v/>
      </c>
    </row>
    <row r="69" ht="15" customHeight="1" s="10">
      <c r="A69" s="9">
        <f>IFERROR(INDEX('All products'!$A$2:$A$107,MATCH(64,'All products'!$Q$2:$Q$107,0))&amp;"","")</f>
        <v/>
      </c>
      <c r="B69" s="9">
        <f>IFERROR(INDEX('All products'!$B$2:$B$107,MATCH(64,'All products'!$Q$2:$Q$107,0))&amp;"","")</f>
        <v/>
      </c>
      <c r="C69" s="9">
        <f>IFERROR(INDEX('All products'!$C$2:$C$107,MATCH(64,'All products'!$Q$2:$Q$107,0))&amp;"","")</f>
        <v/>
      </c>
      <c r="D69" s="9">
        <f>IFERROR(INDEX('All products'!$D$2:$D$107,MATCH(64,'All products'!$Q$2:$Q$107,0))&amp;"","")</f>
        <v/>
      </c>
      <c r="E69" s="9">
        <f>IFERROR(INDEX('All products'!$E$2:$E$107,MATCH(64,'All products'!$Q$2:$Q$107,0))&amp;"","")</f>
        <v/>
      </c>
      <c r="F69" s="9">
        <f>IFERROR(INDEX('All products'!$F$2:$F$107,MATCH(64,'All products'!$Q$2:$Q$107,0))&amp;"","")</f>
        <v/>
      </c>
      <c r="G69" s="9">
        <f>IFERROR(INDEX('All products'!$G$2:$G$107,MATCH(64,'All products'!$Q$2:$Q$107,0))&amp;"","")</f>
        <v/>
      </c>
      <c r="H69" s="9">
        <f>IFERROR(INDEX('All products'!$H$2:$H$107,MATCH(64,'All products'!$Q$2:$Q$107,0))&amp;"","")</f>
        <v/>
      </c>
      <c r="I69" s="9">
        <f>IFERROR(INDEX('All products'!$I$2:$I$107,MATCH(64,'All products'!$Q$2:$Q$107,0))&amp;"","")</f>
        <v/>
      </c>
      <c r="J69" s="9">
        <f>IFERROR(INDEX('All products'!$J$2:$J$107,MATCH(64,'All products'!$Q$2:$Q$107,0))&amp;"","")</f>
        <v/>
      </c>
      <c r="K69" s="9">
        <f>IFERROR(INDEX('All products'!$K$2:$K$107,MATCH(64,'All products'!$Q$2:$Q$107,0))&amp;"","")</f>
        <v/>
      </c>
      <c r="L69" s="9">
        <f>IFERROR(INDEX('All products'!$L$2:$L$107,MATCH(64,'All products'!$Q$2:$Q$107,0))&amp;"","")</f>
        <v/>
      </c>
      <c r="M69" s="9">
        <f>IFERROR(INDEX('All products'!$M$2:$M$107,MATCH(64,'All products'!$Q$2:$Q$107,0))&amp;"","")</f>
        <v/>
      </c>
      <c r="N69" s="9">
        <f>IFERROR(INDEX('All products'!$N$2:$N$107,MATCH(64,'All products'!$Q$2:$Q$107,0))&amp;"","")</f>
        <v/>
      </c>
      <c r="O69" s="9">
        <f>IFERROR(HYPERLINK(INDEX('All products'!$O$2:$O$107,MATCH(64,'All products'!$Q$2:$Q$107,0))),"")</f>
        <v/>
      </c>
    </row>
    <row r="70" ht="15" customHeight="1" s="10">
      <c r="A70" s="9">
        <f>IFERROR(INDEX('All products'!$A$2:$A$107,MATCH(65,'All products'!$Q$2:$Q$107,0))&amp;"","")</f>
        <v/>
      </c>
      <c r="B70" s="9">
        <f>IFERROR(INDEX('All products'!$B$2:$B$107,MATCH(65,'All products'!$Q$2:$Q$107,0))&amp;"","")</f>
        <v/>
      </c>
      <c r="C70" s="9">
        <f>IFERROR(INDEX('All products'!$C$2:$C$107,MATCH(65,'All products'!$Q$2:$Q$107,0))&amp;"","")</f>
        <v/>
      </c>
      <c r="D70" s="9">
        <f>IFERROR(INDEX('All products'!$D$2:$D$107,MATCH(65,'All products'!$Q$2:$Q$107,0))&amp;"","")</f>
        <v/>
      </c>
      <c r="E70" s="9">
        <f>IFERROR(INDEX('All products'!$E$2:$E$107,MATCH(65,'All products'!$Q$2:$Q$107,0))&amp;"","")</f>
        <v/>
      </c>
      <c r="F70" s="9">
        <f>IFERROR(INDEX('All products'!$F$2:$F$107,MATCH(65,'All products'!$Q$2:$Q$107,0))&amp;"","")</f>
        <v/>
      </c>
      <c r="G70" s="9">
        <f>IFERROR(INDEX('All products'!$G$2:$G$107,MATCH(65,'All products'!$Q$2:$Q$107,0))&amp;"","")</f>
        <v/>
      </c>
      <c r="H70" s="9">
        <f>IFERROR(INDEX('All products'!$H$2:$H$107,MATCH(65,'All products'!$Q$2:$Q$107,0))&amp;"","")</f>
        <v/>
      </c>
      <c r="I70" s="9">
        <f>IFERROR(INDEX('All products'!$I$2:$I$107,MATCH(65,'All products'!$Q$2:$Q$107,0))&amp;"","")</f>
        <v/>
      </c>
      <c r="J70" s="9">
        <f>IFERROR(INDEX('All products'!$J$2:$J$107,MATCH(65,'All products'!$Q$2:$Q$107,0))&amp;"","")</f>
        <v/>
      </c>
      <c r="K70" s="9">
        <f>IFERROR(INDEX('All products'!$K$2:$K$107,MATCH(65,'All products'!$Q$2:$Q$107,0))&amp;"","")</f>
        <v/>
      </c>
      <c r="L70" s="9">
        <f>IFERROR(INDEX('All products'!$L$2:$L$107,MATCH(65,'All products'!$Q$2:$Q$107,0))&amp;"","")</f>
        <v/>
      </c>
      <c r="M70" s="9">
        <f>IFERROR(INDEX('All products'!$M$2:$M$107,MATCH(65,'All products'!$Q$2:$Q$107,0))&amp;"","")</f>
        <v/>
      </c>
      <c r="N70" s="9">
        <f>IFERROR(INDEX('All products'!$N$2:$N$107,MATCH(65,'All products'!$Q$2:$Q$107,0))&amp;"","")</f>
        <v/>
      </c>
      <c r="O70" s="9">
        <f>IFERROR(HYPERLINK(INDEX('All products'!$O$2:$O$107,MATCH(65,'All products'!$Q$2:$Q$107,0))),"")</f>
        <v/>
      </c>
    </row>
    <row r="71" ht="15" customHeight="1" s="10">
      <c r="A71" s="9">
        <f>IFERROR(INDEX('All products'!$A$2:$A$107,MATCH(66,'All products'!$Q$2:$Q$107,0))&amp;"","")</f>
        <v/>
      </c>
      <c r="B71" s="9">
        <f>IFERROR(INDEX('All products'!$B$2:$B$107,MATCH(66,'All products'!$Q$2:$Q$107,0))&amp;"","")</f>
        <v/>
      </c>
      <c r="C71" s="9">
        <f>IFERROR(INDEX('All products'!$C$2:$C$107,MATCH(66,'All products'!$Q$2:$Q$107,0))&amp;"","")</f>
        <v/>
      </c>
      <c r="D71" s="9">
        <f>IFERROR(INDEX('All products'!$D$2:$D$107,MATCH(66,'All products'!$Q$2:$Q$107,0))&amp;"","")</f>
        <v/>
      </c>
      <c r="E71" s="9">
        <f>IFERROR(INDEX('All products'!$E$2:$E$107,MATCH(66,'All products'!$Q$2:$Q$107,0))&amp;"","")</f>
        <v/>
      </c>
      <c r="F71" s="9">
        <f>IFERROR(INDEX('All products'!$F$2:$F$107,MATCH(66,'All products'!$Q$2:$Q$107,0))&amp;"","")</f>
        <v/>
      </c>
      <c r="G71" s="9">
        <f>IFERROR(INDEX('All products'!$G$2:$G$107,MATCH(66,'All products'!$Q$2:$Q$107,0))&amp;"","")</f>
        <v/>
      </c>
      <c r="H71" s="9">
        <f>IFERROR(INDEX('All products'!$H$2:$H$107,MATCH(66,'All products'!$Q$2:$Q$107,0))&amp;"","")</f>
        <v/>
      </c>
      <c r="I71" s="9">
        <f>IFERROR(INDEX('All products'!$I$2:$I$107,MATCH(66,'All products'!$Q$2:$Q$107,0))&amp;"","")</f>
        <v/>
      </c>
      <c r="J71" s="9">
        <f>IFERROR(INDEX('All products'!$J$2:$J$107,MATCH(66,'All products'!$Q$2:$Q$107,0))&amp;"","")</f>
        <v/>
      </c>
      <c r="K71" s="9">
        <f>IFERROR(INDEX('All products'!$K$2:$K$107,MATCH(66,'All products'!$Q$2:$Q$107,0))&amp;"","")</f>
        <v/>
      </c>
      <c r="L71" s="9">
        <f>IFERROR(INDEX('All products'!$L$2:$L$107,MATCH(66,'All products'!$Q$2:$Q$107,0))&amp;"","")</f>
        <v/>
      </c>
      <c r="M71" s="9">
        <f>IFERROR(INDEX('All products'!$M$2:$M$107,MATCH(66,'All products'!$Q$2:$Q$107,0))&amp;"","")</f>
        <v/>
      </c>
      <c r="N71" s="9">
        <f>IFERROR(INDEX('All products'!$N$2:$N$107,MATCH(66,'All products'!$Q$2:$Q$107,0))&amp;"","")</f>
        <v/>
      </c>
      <c r="O71" s="9">
        <f>IFERROR(HYPERLINK(INDEX('All products'!$O$2:$O$107,MATCH(66,'All products'!$Q$2:$Q$107,0))),"")</f>
        <v/>
      </c>
    </row>
    <row r="72" ht="15" customHeight="1" s="10">
      <c r="A72" s="9">
        <f>IFERROR(INDEX('All products'!$A$2:$A$107,MATCH(67,'All products'!$Q$2:$Q$107,0))&amp;"","")</f>
        <v/>
      </c>
      <c r="B72" s="9">
        <f>IFERROR(INDEX('All products'!$B$2:$B$107,MATCH(67,'All products'!$Q$2:$Q$107,0))&amp;"","")</f>
        <v/>
      </c>
      <c r="C72" s="9">
        <f>IFERROR(INDEX('All products'!$C$2:$C$107,MATCH(67,'All products'!$Q$2:$Q$107,0))&amp;"","")</f>
        <v/>
      </c>
      <c r="D72" s="9">
        <f>IFERROR(INDEX('All products'!$D$2:$D$107,MATCH(67,'All products'!$Q$2:$Q$107,0))&amp;"","")</f>
        <v/>
      </c>
      <c r="E72" s="9">
        <f>IFERROR(INDEX('All products'!$E$2:$E$107,MATCH(67,'All products'!$Q$2:$Q$107,0))&amp;"","")</f>
        <v/>
      </c>
      <c r="F72" s="9">
        <f>IFERROR(INDEX('All products'!$F$2:$F$107,MATCH(67,'All products'!$Q$2:$Q$107,0))&amp;"","")</f>
        <v/>
      </c>
      <c r="G72" s="9">
        <f>IFERROR(INDEX('All products'!$G$2:$G$107,MATCH(67,'All products'!$Q$2:$Q$107,0))&amp;"","")</f>
        <v/>
      </c>
      <c r="H72" s="9">
        <f>IFERROR(INDEX('All products'!$H$2:$H$107,MATCH(67,'All products'!$Q$2:$Q$107,0))&amp;"","")</f>
        <v/>
      </c>
      <c r="I72" s="9">
        <f>IFERROR(INDEX('All products'!$I$2:$I$107,MATCH(67,'All products'!$Q$2:$Q$107,0))&amp;"","")</f>
        <v/>
      </c>
      <c r="J72" s="9">
        <f>IFERROR(INDEX('All products'!$J$2:$J$107,MATCH(67,'All products'!$Q$2:$Q$107,0))&amp;"","")</f>
        <v/>
      </c>
      <c r="K72" s="9">
        <f>IFERROR(INDEX('All products'!$K$2:$K$107,MATCH(67,'All products'!$Q$2:$Q$107,0))&amp;"","")</f>
        <v/>
      </c>
      <c r="L72" s="9">
        <f>IFERROR(INDEX('All products'!$L$2:$L$107,MATCH(67,'All products'!$Q$2:$Q$107,0))&amp;"","")</f>
        <v/>
      </c>
      <c r="M72" s="9">
        <f>IFERROR(INDEX('All products'!$M$2:$M$107,MATCH(67,'All products'!$Q$2:$Q$107,0))&amp;"","")</f>
        <v/>
      </c>
      <c r="N72" s="9">
        <f>IFERROR(INDEX('All products'!$N$2:$N$107,MATCH(67,'All products'!$Q$2:$Q$107,0))&amp;"","")</f>
        <v/>
      </c>
      <c r="O72" s="9">
        <f>IFERROR(HYPERLINK(INDEX('All products'!$O$2:$O$107,MATCH(67,'All products'!$Q$2:$Q$107,0))),"")</f>
        <v/>
      </c>
    </row>
    <row r="73" ht="15" customHeight="1" s="10">
      <c r="A73" s="9">
        <f>IFERROR(INDEX('All products'!$A$2:$A$107,MATCH(68,'All products'!$Q$2:$Q$107,0))&amp;"","")</f>
        <v/>
      </c>
      <c r="B73" s="9">
        <f>IFERROR(INDEX('All products'!$B$2:$B$107,MATCH(68,'All products'!$Q$2:$Q$107,0))&amp;"","")</f>
        <v/>
      </c>
      <c r="C73" s="9">
        <f>IFERROR(INDEX('All products'!$C$2:$C$107,MATCH(68,'All products'!$Q$2:$Q$107,0))&amp;"","")</f>
        <v/>
      </c>
      <c r="D73" s="9">
        <f>IFERROR(INDEX('All products'!$D$2:$D$107,MATCH(68,'All products'!$Q$2:$Q$107,0))&amp;"","")</f>
        <v/>
      </c>
      <c r="E73" s="9">
        <f>IFERROR(INDEX('All products'!$E$2:$E$107,MATCH(68,'All products'!$Q$2:$Q$107,0))&amp;"","")</f>
        <v/>
      </c>
      <c r="F73" s="9">
        <f>IFERROR(INDEX('All products'!$F$2:$F$107,MATCH(68,'All products'!$Q$2:$Q$107,0))&amp;"","")</f>
        <v/>
      </c>
      <c r="G73" s="9">
        <f>IFERROR(INDEX('All products'!$G$2:$G$107,MATCH(68,'All products'!$Q$2:$Q$107,0))&amp;"","")</f>
        <v/>
      </c>
      <c r="H73" s="9">
        <f>IFERROR(INDEX('All products'!$H$2:$H$107,MATCH(68,'All products'!$Q$2:$Q$107,0))&amp;"","")</f>
        <v/>
      </c>
      <c r="I73" s="9">
        <f>IFERROR(INDEX('All products'!$I$2:$I$107,MATCH(68,'All products'!$Q$2:$Q$107,0))&amp;"","")</f>
        <v/>
      </c>
      <c r="J73" s="9">
        <f>IFERROR(INDEX('All products'!$J$2:$J$107,MATCH(68,'All products'!$Q$2:$Q$107,0))&amp;"","")</f>
        <v/>
      </c>
      <c r="K73" s="9">
        <f>IFERROR(INDEX('All products'!$K$2:$K$107,MATCH(68,'All products'!$Q$2:$Q$107,0))&amp;"","")</f>
        <v/>
      </c>
      <c r="L73" s="9">
        <f>IFERROR(INDEX('All products'!$L$2:$L$107,MATCH(68,'All products'!$Q$2:$Q$107,0))&amp;"","")</f>
        <v/>
      </c>
      <c r="M73" s="9">
        <f>IFERROR(INDEX('All products'!$M$2:$M$107,MATCH(68,'All products'!$Q$2:$Q$107,0))&amp;"","")</f>
        <v/>
      </c>
      <c r="N73" s="9">
        <f>IFERROR(INDEX('All products'!$N$2:$N$107,MATCH(68,'All products'!$Q$2:$Q$107,0))&amp;"","")</f>
        <v/>
      </c>
      <c r="O73" s="9">
        <f>IFERROR(HYPERLINK(INDEX('All products'!$O$2:$O$107,MATCH(68,'All products'!$Q$2:$Q$107,0))),"")</f>
        <v/>
      </c>
    </row>
    <row r="74" ht="15" customHeight="1" s="10">
      <c r="A74" s="9">
        <f>IFERROR(INDEX('All products'!$A$2:$A$107,MATCH(69,'All products'!$Q$2:$Q$107,0))&amp;"","")</f>
        <v/>
      </c>
      <c r="B74" s="9">
        <f>IFERROR(INDEX('All products'!$B$2:$B$107,MATCH(69,'All products'!$Q$2:$Q$107,0))&amp;"","")</f>
        <v/>
      </c>
      <c r="C74" s="9">
        <f>IFERROR(INDEX('All products'!$C$2:$C$107,MATCH(69,'All products'!$Q$2:$Q$107,0))&amp;"","")</f>
        <v/>
      </c>
      <c r="D74" s="9">
        <f>IFERROR(INDEX('All products'!$D$2:$D$107,MATCH(69,'All products'!$Q$2:$Q$107,0))&amp;"","")</f>
        <v/>
      </c>
      <c r="E74" s="9">
        <f>IFERROR(INDEX('All products'!$E$2:$E$107,MATCH(69,'All products'!$Q$2:$Q$107,0))&amp;"","")</f>
        <v/>
      </c>
      <c r="F74" s="9">
        <f>IFERROR(INDEX('All products'!$F$2:$F$107,MATCH(69,'All products'!$Q$2:$Q$107,0))&amp;"","")</f>
        <v/>
      </c>
      <c r="G74" s="9">
        <f>IFERROR(INDEX('All products'!$G$2:$G$107,MATCH(69,'All products'!$Q$2:$Q$107,0))&amp;"","")</f>
        <v/>
      </c>
      <c r="H74" s="9">
        <f>IFERROR(INDEX('All products'!$H$2:$H$107,MATCH(69,'All products'!$Q$2:$Q$107,0))&amp;"","")</f>
        <v/>
      </c>
      <c r="I74" s="9">
        <f>IFERROR(INDEX('All products'!$I$2:$I$107,MATCH(69,'All products'!$Q$2:$Q$107,0))&amp;"","")</f>
        <v/>
      </c>
      <c r="J74" s="9">
        <f>IFERROR(INDEX('All products'!$J$2:$J$107,MATCH(69,'All products'!$Q$2:$Q$107,0))&amp;"","")</f>
        <v/>
      </c>
      <c r="K74" s="9">
        <f>IFERROR(INDEX('All products'!$K$2:$K$107,MATCH(69,'All products'!$Q$2:$Q$107,0))&amp;"","")</f>
        <v/>
      </c>
      <c r="L74" s="9">
        <f>IFERROR(INDEX('All products'!$L$2:$L$107,MATCH(69,'All products'!$Q$2:$Q$107,0))&amp;"","")</f>
        <v/>
      </c>
      <c r="M74" s="9">
        <f>IFERROR(INDEX('All products'!$M$2:$M$107,MATCH(69,'All products'!$Q$2:$Q$107,0))&amp;"","")</f>
        <v/>
      </c>
      <c r="N74" s="9">
        <f>IFERROR(INDEX('All products'!$N$2:$N$107,MATCH(69,'All products'!$Q$2:$Q$107,0))&amp;"","")</f>
        <v/>
      </c>
      <c r="O74" s="9">
        <f>IFERROR(HYPERLINK(INDEX('All products'!$O$2:$O$107,MATCH(69,'All products'!$Q$2:$Q$107,0))),"")</f>
        <v/>
      </c>
    </row>
    <row r="75" ht="15" customHeight="1" s="10">
      <c r="A75" s="9">
        <f>IFERROR(INDEX('All products'!$A$2:$A$107,MATCH(70,'All products'!$Q$2:$Q$107,0))&amp;"","")</f>
        <v/>
      </c>
      <c r="B75" s="9">
        <f>IFERROR(INDEX('All products'!$B$2:$B$107,MATCH(70,'All products'!$Q$2:$Q$107,0))&amp;"","")</f>
        <v/>
      </c>
      <c r="C75" s="9">
        <f>IFERROR(INDEX('All products'!$C$2:$C$107,MATCH(70,'All products'!$Q$2:$Q$107,0))&amp;"","")</f>
        <v/>
      </c>
      <c r="D75" s="9">
        <f>IFERROR(INDEX('All products'!$D$2:$D$107,MATCH(70,'All products'!$Q$2:$Q$107,0))&amp;"","")</f>
        <v/>
      </c>
      <c r="E75" s="9">
        <f>IFERROR(INDEX('All products'!$E$2:$E$107,MATCH(70,'All products'!$Q$2:$Q$107,0))&amp;"","")</f>
        <v/>
      </c>
      <c r="F75" s="9">
        <f>IFERROR(INDEX('All products'!$F$2:$F$107,MATCH(70,'All products'!$Q$2:$Q$107,0))&amp;"","")</f>
        <v/>
      </c>
      <c r="G75" s="9">
        <f>IFERROR(INDEX('All products'!$G$2:$G$107,MATCH(70,'All products'!$Q$2:$Q$107,0))&amp;"","")</f>
        <v/>
      </c>
      <c r="H75" s="9">
        <f>IFERROR(INDEX('All products'!$H$2:$H$107,MATCH(70,'All products'!$Q$2:$Q$107,0))&amp;"","")</f>
        <v/>
      </c>
      <c r="I75" s="9">
        <f>IFERROR(INDEX('All products'!$I$2:$I$107,MATCH(70,'All products'!$Q$2:$Q$107,0))&amp;"","")</f>
        <v/>
      </c>
      <c r="J75" s="9">
        <f>IFERROR(INDEX('All products'!$J$2:$J$107,MATCH(70,'All products'!$Q$2:$Q$107,0))&amp;"","")</f>
        <v/>
      </c>
      <c r="K75" s="9">
        <f>IFERROR(INDEX('All products'!$K$2:$K$107,MATCH(70,'All products'!$Q$2:$Q$107,0))&amp;"","")</f>
        <v/>
      </c>
      <c r="L75" s="9">
        <f>IFERROR(INDEX('All products'!$L$2:$L$107,MATCH(70,'All products'!$Q$2:$Q$107,0))&amp;"","")</f>
        <v/>
      </c>
      <c r="M75" s="9">
        <f>IFERROR(INDEX('All products'!$M$2:$M$107,MATCH(70,'All products'!$Q$2:$Q$107,0))&amp;"","")</f>
        <v/>
      </c>
      <c r="N75" s="9">
        <f>IFERROR(INDEX('All products'!$N$2:$N$107,MATCH(70,'All products'!$Q$2:$Q$107,0))&amp;"","")</f>
        <v/>
      </c>
      <c r="O75" s="9">
        <f>IFERROR(HYPERLINK(INDEX('All products'!$O$2:$O$107,MATCH(70,'All products'!$Q$2:$Q$107,0))),"")</f>
        <v/>
      </c>
    </row>
    <row r="76" ht="15" customHeight="1" s="10">
      <c r="A76" s="9">
        <f>IFERROR(INDEX('All products'!$A$2:$A$107,MATCH(71,'All products'!$Q$2:$Q$107,0))&amp;"","")</f>
        <v/>
      </c>
      <c r="B76" s="9">
        <f>IFERROR(INDEX('All products'!$B$2:$B$107,MATCH(71,'All products'!$Q$2:$Q$107,0))&amp;"","")</f>
        <v/>
      </c>
      <c r="C76" s="9">
        <f>IFERROR(INDEX('All products'!$C$2:$C$107,MATCH(71,'All products'!$Q$2:$Q$107,0))&amp;"","")</f>
        <v/>
      </c>
      <c r="D76" s="9">
        <f>IFERROR(INDEX('All products'!$D$2:$D$107,MATCH(71,'All products'!$Q$2:$Q$107,0))&amp;"","")</f>
        <v/>
      </c>
      <c r="E76" s="9">
        <f>IFERROR(INDEX('All products'!$E$2:$E$107,MATCH(71,'All products'!$Q$2:$Q$107,0))&amp;"","")</f>
        <v/>
      </c>
      <c r="F76" s="9">
        <f>IFERROR(INDEX('All products'!$F$2:$F$107,MATCH(71,'All products'!$Q$2:$Q$107,0))&amp;"","")</f>
        <v/>
      </c>
      <c r="G76" s="9">
        <f>IFERROR(INDEX('All products'!$G$2:$G$107,MATCH(71,'All products'!$Q$2:$Q$107,0))&amp;"","")</f>
        <v/>
      </c>
      <c r="H76" s="9">
        <f>IFERROR(INDEX('All products'!$H$2:$H$107,MATCH(71,'All products'!$Q$2:$Q$107,0))&amp;"","")</f>
        <v/>
      </c>
      <c r="I76" s="9">
        <f>IFERROR(INDEX('All products'!$I$2:$I$107,MATCH(71,'All products'!$Q$2:$Q$107,0))&amp;"","")</f>
        <v/>
      </c>
      <c r="J76" s="9">
        <f>IFERROR(INDEX('All products'!$J$2:$J$107,MATCH(71,'All products'!$Q$2:$Q$107,0))&amp;"","")</f>
        <v/>
      </c>
      <c r="K76" s="9">
        <f>IFERROR(INDEX('All products'!$K$2:$K$107,MATCH(71,'All products'!$Q$2:$Q$107,0))&amp;"","")</f>
        <v/>
      </c>
      <c r="L76" s="9">
        <f>IFERROR(INDEX('All products'!$L$2:$L$107,MATCH(71,'All products'!$Q$2:$Q$107,0))&amp;"","")</f>
        <v/>
      </c>
      <c r="M76" s="9">
        <f>IFERROR(INDEX('All products'!$M$2:$M$107,MATCH(71,'All products'!$Q$2:$Q$107,0))&amp;"","")</f>
        <v/>
      </c>
      <c r="N76" s="9">
        <f>IFERROR(INDEX('All products'!$N$2:$N$107,MATCH(71,'All products'!$Q$2:$Q$107,0))&amp;"","")</f>
        <v/>
      </c>
      <c r="O76" s="9">
        <f>IFERROR(HYPERLINK(INDEX('All products'!$O$2:$O$107,MATCH(71,'All products'!$Q$2:$Q$107,0))),"")</f>
        <v/>
      </c>
    </row>
    <row r="77" ht="15" customHeight="1" s="10">
      <c r="A77" s="9">
        <f>IFERROR(INDEX('All products'!$A$2:$A$107,MATCH(72,'All products'!$Q$2:$Q$107,0))&amp;"","")</f>
        <v/>
      </c>
      <c r="B77" s="9">
        <f>IFERROR(INDEX('All products'!$B$2:$B$107,MATCH(72,'All products'!$Q$2:$Q$107,0))&amp;"","")</f>
        <v/>
      </c>
      <c r="C77" s="9">
        <f>IFERROR(INDEX('All products'!$C$2:$C$107,MATCH(72,'All products'!$Q$2:$Q$107,0))&amp;"","")</f>
        <v/>
      </c>
      <c r="D77" s="9">
        <f>IFERROR(INDEX('All products'!$D$2:$D$107,MATCH(72,'All products'!$Q$2:$Q$107,0))&amp;"","")</f>
        <v/>
      </c>
      <c r="E77" s="9">
        <f>IFERROR(INDEX('All products'!$E$2:$E$107,MATCH(72,'All products'!$Q$2:$Q$107,0))&amp;"","")</f>
        <v/>
      </c>
      <c r="F77" s="9">
        <f>IFERROR(INDEX('All products'!$F$2:$F$107,MATCH(72,'All products'!$Q$2:$Q$107,0))&amp;"","")</f>
        <v/>
      </c>
      <c r="G77" s="9">
        <f>IFERROR(INDEX('All products'!$G$2:$G$107,MATCH(72,'All products'!$Q$2:$Q$107,0))&amp;"","")</f>
        <v/>
      </c>
      <c r="H77" s="9">
        <f>IFERROR(INDEX('All products'!$H$2:$H$107,MATCH(72,'All products'!$Q$2:$Q$107,0))&amp;"","")</f>
        <v/>
      </c>
      <c r="I77" s="9">
        <f>IFERROR(INDEX('All products'!$I$2:$I$107,MATCH(72,'All products'!$Q$2:$Q$107,0))&amp;"","")</f>
        <v/>
      </c>
      <c r="J77" s="9">
        <f>IFERROR(INDEX('All products'!$J$2:$J$107,MATCH(72,'All products'!$Q$2:$Q$107,0))&amp;"","")</f>
        <v/>
      </c>
      <c r="K77" s="9">
        <f>IFERROR(INDEX('All products'!$K$2:$K$107,MATCH(72,'All products'!$Q$2:$Q$107,0))&amp;"","")</f>
        <v/>
      </c>
      <c r="L77" s="9">
        <f>IFERROR(INDEX('All products'!$L$2:$L$107,MATCH(72,'All products'!$Q$2:$Q$107,0))&amp;"","")</f>
        <v/>
      </c>
      <c r="M77" s="9">
        <f>IFERROR(INDEX('All products'!$M$2:$M$107,MATCH(72,'All products'!$Q$2:$Q$107,0))&amp;"","")</f>
        <v/>
      </c>
      <c r="N77" s="9">
        <f>IFERROR(INDEX('All products'!$N$2:$N$107,MATCH(72,'All products'!$Q$2:$Q$107,0))&amp;"","")</f>
        <v/>
      </c>
      <c r="O77" s="9">
        <f>IFERROR(HYPERLINK(INDEX('All products'!$O$2:$O$107,MATCH(72,'All products'!$Q$2:$Q$107,0))),"")</f>
        <v/>
      </c>
    </row>
    <row r="78" ht="15" customHeight="1" s="10">
      <c r="A78" s="9">
        <f>IFERROR(INDEX('All products'!$A$2:$A$107,MATCH(73,'All products'!$Q$2:$Q$107,0))&amp;"","")</f>
        <v/>
      </c>
      <c r="B78" s="9">
        <f>IFERROR(INDEX('All products'!$B$2:$B$107,MATCH(73,'All products'!$Q$2:$Q$107,0))&amp;"","")</f>
        <v/>
      </c>
      <c r="C78" s="9">
        <f>IFERROR(INDEX('All products'!$C$2:$C$107,MATCH(73,'All products'!$Q$2:$Q$107,0))&amp;"","")</f>
        <v/>
      </c>
      <c r="D78" s="9">
        <f>IFERROR(INDEX('All products'!$D$2:$D$107,MATCH(73,'All products'!$Q$2:$Q$107,0))&amp;"","")</f>
        <v/>
      </c>
      <c r="E78" s="9">
        <f>IFERROR(INDEX('All products'!$E$2:$E$107,MATCH(73,'All products'!$Q$2:$Q$107,0))&amp;"","")</f>
        <v/>
      </c>
      <c r="F78" s="9">
        <f>IFERROR(INDEX('All products'!$F$2:$F$107,MATCH(73,'All products'!$Q$2:$Q$107,0))&amp;"","")</f>
        <v/>
      </c>
      <c r="G78" s="9">
        <f>IFERROR(INDEX('All products'!$G$2:$G$107,MATCH(73,'All products'!$Q$2:$Q$107,0))&amp;"","")</f>
        <v/>
      </c>
      <c r="H78" s="9">
        <f>IFERROR(INDEX('All products'!$H$2:$H$107,MATCH(73,'All products'!$Q$2:$Q$107,0))&amp;"","")</f>
        <v/>
      </c>
      <c r="I78" s="9">
        <f>IFERROR(INDEX('All products'!$I$2:$I$107,MATCH(73,'All products'!$Q$2:$Q$107,0))&amp;"","")</f>
        <v/>
      </c>
      <c r="J78" s="9">
        <f>IFERROR(INDEX('All products'!$J$2:$J$107,MATCH(73,'All products'!$Q$2:$Q$107,0))&amp;"","")</f>
        <v/>
      </c>
      <c r="K78" s="9">
        <f>IFERROR(INDEX('All products'!$K$2:$K$107,MATCH(73,'All products'!$Q$2:$Q$107,0))&amp;"","")</f>
        <v/>
      </c>
      <c r="L78" s="9">
        <f>IFERROR(INDEX('All products'!$L$2:$L$107,MATCH(73,'All products'!$Q$2:$Q$107,0))&amp;"","")</f>
        <v/>
      </c>
      <c r="M78" s="9">
        <f>IFERROR(INDEX('All products'!$M$2:$M$107,MATCH(73,'All products'!$Q$2:$Q$107,0))&amp;"","")</f>
        <v/>
      </c>
      <c r="N78" s="9">
        <f>IFERROR(INDEX('All products'!$N$2:$N$107,MATCH(73,'All products'!$Q$2:$Q$107,0))&amp;"","")</f>
        <v/>
      </c>
      <c r="O78" s="9">
        <f>IFERROR(HYPERLINK(INDEX('All products'!$O$2:$O$107,MATCH(73,'All products'!$Q$2:$Q$107,0))),"")</f>
        <v/>
      </c>
    </row>
    <row r="79" ht="15" customHeight="1" s="10">
      <c r="A79" s="9">
        <f>IFERROR(INDEX('All products'!$A$2:$A$107,MATCH(74,'All products'!$Q$2:$Q$107,0))&amp;"","")</f>
        <v/>
      </c>
      <c r="B79" s="9">
        <f>IFERROR(INDEX('All products'!$B$2:$B$107,MATCH(74,'All products'!$Q$2:$Q$107,0))&amp;"","")</f>
        <v/>
      </c>
      <c r="C79" s="9">
        <f>IFERROR(INDEX('All products'!$C$2:$C$107,MATCH(74,'All products'!$Q$2:$Q$107,0))&amp;"","")</f>
        <v/>
      </c>
      <c r="D79" s="9">
        <f>IFERROR(INDEX('All products'!$D$2:$D$107,MATCH(74,'All products'!$Q$2:$Q$107,0))&amp;"","")</f>
        <v/>
      </c>
      <c r="E79" s="9">
        <f>IFERROR(INDEX('All products'!$E$2:$E$107,MATCH(74,'All products'!$Q$2:$Q$107,0))&amp;"","")</f>
        <v/>
      </c>
      <c r="F79" s="9">
        <f>IFERROR(INDEX('All products'!$F$2:$F$107,MATCH(74,'All products'!$Q$2:$Q$107,0))&amp;"","")</f>
        <v/>
      </c>
      <c r="G79" s="9">
        <f>IFERROR(INDEX('All products'!$G$2:$G$107,MATCH(74,'All products'!$Q$2:$Q$107,0))&amp;"","")</f>
        <v/>
      </c>
      <c r="H79" s="9">
        <f>IFERROR(INDEX('All products'!$H$2:$H$107,MATCH(74,'All products'!$Q$2:$Q$107,0))&amp;"","")</f>
        <v/>
      </c>
      <c r="I79" s="9">
        <f>IFERROR(INDEX('All products'!$I$2:$I$107,MATCH(74,'All products'!$Q$2:$Q$107,0))&amp;"","")</f>
        <v/>
      </c>
      <c r="J79" s="9">
        <f>IFERROR(INDEX('All products'!$J$2:$J$107,MATCH(74,'All products'!$Q$2:$Q$107,0))&amp;"","")</f>
        <v/>
      </c>
      <c r="K79" s="9">
        <f>IFERROR(INDEX('All products'!$K$2:$K$107,MATCH(74,'All products'!$Q$2:$Q$107,0))&amp;"","")</f>
        <v/>
      </c>
      <c r="L79" s="9">
        <f>IFERROR(INDEX('All products'!$L$2:$L$107,MATCH(74,'All products'!$Q$2:$Q$107,0))&amp;"","")</f>
        <v/>
      </c>
      <c r="M79" s="9">
        <f>IFERROR(INDEX('All products'!$M$2:$M$107,MATCH(74,'All products'!$Q$2:$Q$107,0))&amp;"","")</f>
        <v/>
      </c>
      <c r="N79" s="9">
        <f>IFERROR(INDEX('All products'!$N$2:$N$107,MATCH(74,'All products'!$Q$2:$Q$107,0))&amp;"","")</f>
        <v/>
      </c>
      <c r="O79" s="9">
        <f>IFERROR(HYPERLINK(INDEX('All products'!$O$2:$O$107,MATCH(74,'All products'!$Q$2:$Q$107,0))),"")</f>
        <v/>
      </c>
    </row>
    <row r="80" ht="15" customHeight="1" s="10">
      <c r="A80" s="9">
        <f>IFERROR(INDEX('All products'!$A$2:$A$107,MATCH(75,'All products'!$Q$2:$Q$107,0))&amp;"","")</f>
        <v/>
      </c>
      <c r="B80" s="9">
        <f>IFERROR(INDEX('All products'!$B$2:$B$107,MATCH(75,'All products'!$Q$2:$Q$107,0))&amp;"","")</f>
        <v/>
      </c>
      <c r="C80" s="9">
        <f>IFERROR(INDEX('All products'!$C$2:$C$107,MATCH(75,'All products'!$Q$2:$Q$107,0))&amp;"","")</f>
        <v/>
      </c>
      <c r="D80" s="9">
        <f>IFERROR(INDEX('All products'!$D$2:$D$107,MATCH(75,'All products'!$Q$2:$Q$107,0))&amp;"","")</f>
        <v/>
      </c>
      <c r="E80" s="9">
        <f>IFERROR(INDEX('All products'!$E$2:$E$107,MATCH(75,'All products'!$Q$2:$Q$107,0))&amp;"","")</f>
        <v/>
      </c>
      <c r="F80" s="9">
        <f>IFERROR(INDEX('All products'!$F$2:$F$107,MATCH(75,'All products'!$Q$2:$Q$107,0))&amp;"","")</f>
        <v/>
      </c>
      <c r="G80" s="9">
        <f>IFERROR(INDEX('All products'!$G$2:$G$107,MATCH(75,'All products'!$Q$2:$Q$107,0))&amp;"","")</f>
        <v/>
      </c>
      <c r="H80" s="9">
        <f>IFERROR(INDEX('All products'!$H$2:$H$107,MATCH(75,'All products'!$Q$2:$Q$107,0))&amp;"","")</f>
        <v/>
      </c>
      <c r="I80" s="9">
        <f>IFERROR(INDEX('All products'!$I$2:$I$107,MATCH(75,'All products'!$Q$2:$Q$107,0))&amp;"","")</f>
        <v/>
      </c>
      <c r="J80" s="9">
        <f>IFERROR(INDEX('All products'!$J$2:$J$107,MATCH(75,'All products'!$Q$2:$Q$107,0))&amp;"","")</f>
        <v/>
      </c>
      <c r="K80" s="9">
        <f>IFERROR(INDEX('All products'!$K$2:$K$107,MATCH(75,'All products'!$Q$2:$Q$107,0))&amp;"","")</f>
        <v/>
      </c>
      <c r="L80" s="9">
        <f>IFERROR(INDEX('All products'!$L$2:$L$107,MATCH(75,'All products'!$Q$2:$Q$107,0))&amp;"","")</f>
        <v/>
      </c>
      <c r="M80" s="9">
        <f>IFERROR(INDEX('All products'!$M$2:$M$107,MATCH(75,'All products'!$Q$2:$Q$107,0))&amp;"","")</f>
        <v/>
      </c>
      <c r="N80" s="9">
        <f>IFERROR(INDEX('All products'!$N$2:$N$107,MATCH(75,'All products'!$Q$2:$Q$107,0))&amp;"","")</f>
        <v/>
      </c>
      <c r="O80" s="9">
        <f>IFERROR(HYPERLINK(INDEX('All products'!$O$2:$O$107,MATCH(75,'All products'!$Q$2:$Q$107,0))),"")</f>
        <v/>
      </c>
    </row>
    <row r="81" ht="15" customHeight="1" s="10">
      <c r="A81" s="9">
        <f>IFERROR(INDEX('All products'!$A$2:$A$107,MATCH(76,'All products'!$Q$2:$Q$107,0))&amp;"","")</f>
        <v/>
      </c>
      <c r="B81" s="9">
        <f>IFERROR(INDEX('All products'!$B$2:$B$107,MATCH(76,'All products'!$Q$2:$Q$107,0))&amp;"","")</f>
        <v/>
      </c>
      <c r="C81" s="9">
        <f>IFERROR(INDEX('All products'!$C$2:$C$107,MATCH(76,'All products'!$Q$2:$Q$107,0))&amp;"","")</f>
        <v/>
      </c>
      <c r="D81" s="9">
        <f>IFERROR(INDEX('All products'!$D$2:$D$107,MATCH(76,'All products'!$Q$2:$Q$107,0))&amp;"","")</f>
        <v/>
      </c>
      <c r="E81" s="9">
        <f>IFERROR(INDEX('All products'!$E$2:$E$107,MATCH(76,'All products'!$Q$2:$Q$107,0))&amp;"","")</f>
        <v/>
      </c>
      <c r="F81" s="9">
        <f>IFERROR(INDEX('All products'!$F$2:$F$107,MATCH(76,'All products'!$Q$2:$Q$107,0))&amp;"","")</f>
        <v/>
      </c>
      <c r="G81" s="9">
        <f>IFERROR(INDEX('All products'!$G$2:$G$107,MATCH(76,'All products'!$Q$2:$Q$107,0))&amp;"","")</f>
        <v/>
      </c>
      <c r="H81" s="9">
        <f>IFERROR(INDEX('All products'!$H$2:$H$107,MATCH(76,'All products'!$Q$2:$Q$107,0))&amp;"","")</f>
        <v/>
      </c>
      <c r="I81" s="9">
        <f>IFERROR(INDEX('All products'!$I$2:$I$107,MATCH(76,'All products'!$Q$2:$Q$107,0))&amp;"","")</f>
        <v/>
      </c>
      <c r="J81" s="9">
        <f>IFERROR(INDEX('All products'!$J$2:$J$107,MATCH(76,'All products'!$Q$2:$Q$107,0))&amp;"","")</f>
        <v/>
      </c>
      <c r="K81" s="9">
        <f>IFERROR(INDEX('All products'!$K$2:$K$107,MATCH(76,'All products'!$Q$2:$Q$107,0))&amp;"","")</f>
        <v/>
      </c>
      <c r="L81" s="9">
        <f>IFERROR(INDEX('All products'!$L$2:$L$107,MATCH(76,'All products'!$Q$2:$Q$107,0))&amp;"","")</f>
        <v/>
      </c>
      <c r="M81" s="9">
        <f>IFERROR(INDEX('All products'!$M$2:$M$107,MATCH(76,'All products'!$Q$2:$Q$107,0))&amp;"","")</f>
        <v/>
      </c>
      <c r="N81" s="9">
        <f>IFERROR(INDEX('All products'!$N$2:$N$107,MATCH(76,'All products'!$Q$2:$Q$107,0))&amp;"","")</f>
        <v/>
      </c>
      <c r="O81" s="9">
        <f>IFERROR(HYPERLINK(INDEX('All products'!$O$2:$O$107,MATCH(76,'All products'!$Q$2:$Q$107,0))),"")</f>
        <v/>
      </c>
    </row>
    <row r="82" ht="15" customHeight="1" s="10">
      <c r="A82" s="9">
        <f>IFERROR(INDEX('All products'!$A$2:$A$107,MATCH(77,'All products'!$Q$2:$Q$107,0))&amp;"","")</f>
        <v/>
      </c>
      <c r="B82" s="9">
        <f>IFERROR(INDEX('All products'!$B$2:$B$107,MATCH(77,'All products'!$Q$2:$Q$107,0))&amp;"","")</f>
        <v/>
      </c>
      <c r="C82" s="9">
        <f>IFERROR(INDEX('All products'!$C$2:$C$107,MATCH(77,'All products'!$Q$2:$Q$107,0))&amp;"","")</f>
        <v/>
      </c>
      <c r="D82" s="9">
        <f>IFERROR(INDEX('All products'!$D$2:$D$107,MATCH(77,'All products'!$Q$2:$Q$107,0))&amp;"","")</f>
        <v/>
      </c>
      <c r="E82" s="9">
        <f>IFERROR(INDEX('All products'!$E$2:$E$107,MATCH(77,'All products'!$Q$2:$Q$107,0))&amp;"","")</f>
        <v/>
      </c>
      <c r="F82" s="9">
        <f>IFERROR(INDEX('All products'!$F$2:$F$107,MATCH(77,'All products'!$Q$2:$Q$107,0))&amp;"","")</f>
        <v/>
      </c>
      <c r="G82" s="9">
        <f>IFERROR(INDEX('All products'!$G$2:$G$107,MATCH(77,'All products'!$Q$2:$Q$107,0))&amp;"","")</f>
        <v/>
      </c>
      <c r="H82" s="9">
        <f>IFERROR(INDEX('All products'!$H$2:$H$107,MATCH(77,'All products'!$Q$2:$Q$107,0))&amp;"","")</f>
        <v/>
      </c>
      <c r="I82" s="9">
        <f>IFERROR(INDEX('All products'!$I$2:$I$107,MATCH(77,'All products'!$Q$2:$Q$107,0))&amp;"","")</f>
        <v/>
      </c>
      <c r="J82" s="9">
        <f>IFERROR(INDEX('All products'!$J$2:$J$107,MATCH(77,'All products'!$Q$2:$Q$107,0))&amp;"","")</f>
        <v/>
      </c>
      <c r="K82" s="9">
        <f>IFERROR(INDEX('All products'!$K$2:$K$107,MATCH(77,'All products'!$Q$2:$Q$107,0))&amp;"","")</f>
        <v/>
      </c>
      <c r="L82" s="9">
        <f>IFERROR(INDEX('All products'!$L$2:$L$107,MATCH(77,'All products'!$Q$2:$Q$107,0))&amp;"","")</f>
        <v/>
      </c>
      <c r="M82" s="9">
        <f>IFERROR(INDEX('All products'!$M$2:$M$107,MATCH(77,'All products'!$Q$2:$Q$107,0))&amp;"","")</f>
        <v/>
      </c>
      <c r="N82" s="9">
        <f>IFERROR(INDEX('All products'!$N$2:$N$107,MATCH(77,'All products'!$Q$2:$Q$107,0))&amp;"","")</f>
        <v/>
      </c>
      <c r="O82" s="9">
        <f>IFERROR(HYPERLINK(INDEX('All products'!$O$2:$O$107,MATCH(77,'All products'!$Q$2:$Q$107,0))),"")</f>
        <v/>
      </c>
    </row>
    <row r="83" ht="15" customHeight="1" s="10">
      <c r="A83" s="9">
        <f>IFERROR(INDEX('All products'!$A$2:$A$107,MATCH(78,'All products'!$Q$2:$Q$107,0))&amp;"","")</f>
        <v/>
      </c>
      <c r="B83" s="9">
        <f>IFERROR(INDEX('All products'!$B$2:$B$107,MATCH(78,'All products'!$Q$2:$Q$107,0))&amp;"","")</f>
        <v/>
      </c>
      <c r="C83" s="9">
        <f>IFERROR(INDEX('All products'!$C$2:$C$107,MATCH(78,'All products'!$Q$2:$Q$107,0))&amp;"","")</f>
        <v/>
      </c>
      <c r="D83" s="9">
        <f>IFERROR(INDEX('All products'!$D$2:$D$107,MATCH(78,'All products'!$Q$2:$Q$107,0))&amp;"","")</f>
        <v/>
      </c>
      <c r="E83" s="9">
        <f>IFERROR(INDEX('All products'!$E$2:$E$107,MATCH(78,'All products'!$Q$2:$Q$107,0))&amp;"","")</f>
        <v/>
      </c>
      <c r="F83" s="9">
        <f>IFERROR(INDEX('All products'!$F$2:$F$107,MATCH(78,'All products'!$Q$2:$Q$107,0))&amp;"","")</f>
        <v/>
      </c>
      <c r="G83" s="9">
        <f>IFERROR(INDEX('All products'!$G$2:$G$107,MATCH(78,'All products'!$Q$2:$Q$107,0))&amp;"","")</f>
        <v/>
      </c>
      <c r="H83" s="9">
        <f>IFERROR(INDEX('All products'!$H$2:$H$107,MATCH(78,'All products'!$Q$2:$Q$107,0))&amp;"","")</f>
        <v/>
      </c>
      <c r="I83" s="9">
        <f>IFERROR(INDEX('All products'!$I$2:$I$107,MATCH(78,'All products'!$Q$2:$Q$107,0))&amp;"","")</f>
        <v/>
      </c>
      <c r="J83" s="9">
        <f>IFERROR(INDEX('All products'!$J$2:$J$107,MATCH(78,'All products'!$Q$2:$Q$107,0))&amp;"","")</f>
        <v/>
      </c>
      <c r="K83" s="9">
        <f>IFERROR(INDEX('All products'!$K$2:$K$107,MATCH(78,'All products'!$Q$2:$Q$107,0))&amp;"","")</f>
        <v/>
      </c>
      <c r="L83" s="9">
        <f>IFERROR(INDEX('All products'!$L$2:$L$107,MATCH(78,'All products'!$Q$2:$Q$107,0))&amp;"","")</f>
        <v/>
      </c>
      <c r="M83" s="9">
        <f>IFERROR(INDEX('All products'!$M$2:$M$107,MATCH(78,'All products'!$Q$2:$Q$107,0))&amp;"","")</f>
        <v/>
      </c>
      <c r="N83" s="9">
        <f>IFERROR(INDEX('All products'!$N$2:$N$107,MATCH(78,'All products'!$Q$2:$Q$107,0))&amp;"","")</f>
        <v/>
      </c>
      <c r="O83" s="9">
        <f>IFERROR(HYPERLINK(INDEX('All products'!$O$2:$O$107,MATCH(78,'All products'!$Q$2:$Q$107,0))),"")</f>
        <v/>
      </c>
    </row>
    <row r="84" ht="15" customHeight="1" s="10">
      <c r="A84" s="9">
        <f>IFERROR(INDEX('All products'!$A$2:$A$107,MATCH(79,'All products'!$Q$2:$Q$107,0))&amp;"","")</f>
        <v/>
      </c>
      <c r="B84" s="9">
        <f>IFERROR(INDEX('All products'!$B$2:$B$107,MATCH(79,'All products'!$Q$2:$Q$107,0))&amp;"","")</f>
        <v/>
      </c>
      <c r="C84" s="9">
        <f>IFERROR(INDEX('All products'!$C$2:$C$107,MATCH(79,'All products'!$Q$2:$Q$107,0))&amp;"","")</f>
        <v/>
      </c>
      <c r="D84" s="9">
        <f>IFERROR(INDEX('All products'!$D$2:$D$107,MATCH(79,'All products'!$Q$2:$Q$107,0))&amp;"","")</f>
        <v/>
      </c>
      <c r="E84" s="9">
        <f>IFERROR(INDEX('All products'!$E$2:$E$107,MATCH(79,'All products'!$Q$2:$Q$107,0))&amp;"","")</f>
        <v/>
      </c>
      <c r="F84" s="9">
        <f>IFERROR(INDEX('All products'!$F$2:$F$107,MATCH(79,'All products'!$Q$2:$Q$107,0))&amp;"","")</f>
        <v/>
      </c>
      <c r="G84" s="9">
        <f>IFERROR(INDEX('All products'!$G$2:$G$107,MATCH(79,'All products'!$Q$2:$Q$107,0))&amp;"","")</f>
        <v/>
      </c>
      <c r="H84" s="9">
        <f>IFERROR(INDEX('All products'!$H$2:$H$107,MATCH(79,'All products'!$Q$2:$Q$107,0))&amp;"","")</f>
        <v/>
      </c>
      <c r="I84" s="9">
        <f>IFERROR(INDEX('All products'!$I$2:$I$107,MATCH(79,'All products'!$Q$2:$Q$107,0))&amp;"","")</f>
        <v/>
      </c>
      <c r="J84" s="9">
        <f>IFERROR(INDEX('All products'!$J$2:$J$107,MATCH(79,'All products'!$Q$2:$Q$107,0))&amp;"","")</f>
        <v/>
      </c>
      <c r="K84" s="9">
        <f>IFERROR(INDEX('All products'!$K$2:$K$107,MATCH(79,'All products'!$Q$2:$Q$107,0))&amp;"","")</f>
        <v/>
      </c>
      <c r="L84" s="9">
        <f>IFERROR(INDEX('All products'!$L$2:$L$107,MATCH(79,'All products'!$Q$2:$Q$107,0))&amp;"","")</f>
        <v/>
      </c>
      <c r="M84" s="9">
        <f>IFERROR(INDEX('All products'!$M$2:$M$107,MATCH(79,'All products'!$Q$2:$Q$107,0))&amp;"","")</f>
        <v/>
      </c>
      <c r="N84" s="9">
        <f>IFERROR(INDEX('All products'!$N$2:$N$107,MATCH(79,'All products'!$Q$2:$Q$107,0))&amp;"","")</f>
        <v/>
      </c>
      <c r="O84" s="9">
        <f>IFERROR(HYPERLINK(INDEX('All products'!$O$2:$O$107,MATCH(79,'All products'!$Q$2:$Q$107,0))),"")</f>
        <v/>
      </c>
    </row>
    <row r="85" ht="15" customHeight="1" s="10">
      <c r="A85" s="9">
        <f>IFERROR(INDEX('All products'!$A$2:$A$107,MATCH(80,'All products'!$Q$2:$Q$107,0))&amp;"","")</f>
        <v/>
      </c>
      <c r="B85" s="9">
        <f>IFERROR(INDEX('All products'!$B$2:$B$107,MATCH(80,'All products'!$Q$2:$Q$107,0))&amp;"","")</f>
        <v/>
      </c>
      <c r="C85" s="9">
        <f>IFERROR(INDEX('All products'!$C$2:$C$107,MATCH(80,'All products'!$Q$2:$Q$107,0))&amp;"","")</f>
        <v/>
      </c>
      <c r="D85" s="9">
        <f>IFERROR(INDEX('All products'!$D$2:$D$107,MATCH(80,'All products'!$Q$2:$Q$107,0))&amp;"","")</f>
        <v/>
      </c>
      <c r="E85" s="9">
        <f>IFERROR(INDEX('All products'!$E$2:$E$107,MATCH(80,'All products'!$Q$2:$Q$107,0))&amp;"","")</f>
        <v/>
      </c>
      <c r="F85" s="9">
        <f>IFERROR(INDEX('All products'!$F$2:$F$107,MATCH(80,'All products'!$Q$2:$Q$107,0))&amp;"","")</f>
        <v/>
      </c>
      <c r="G85" s="9">
        <f>IFERROR(INDEX('All products'!$G$2:$G$107,MATCH(80,'All products'!$Q$2:$Q$107,0))&amp;"","")</f>
        <v/>
      </c>
      <c r="H85" s="9">
        <f>IFERROR(INDEX('All products'!$H$2:$H$107,MATCH(80,'All products'!$Q$2:$Q$107,0))&amp;"","")</f>
        <v/>
      </c>
      <c r="I85" s="9">
        <f>IFERROR(INDEX('All products'!$I$2:$I$107,MATCH(80,'All products'!$Q$2:$Q$107,0))&amp;"","")</f>
        <v/>
      </c>
      <c r="J85" s="9">
        <f>IFERROR(INDEX('All products'!$J$2:$J$107,MATCH(80,'All products'!$Q$2:$Q$107,0))&amp;"","")</f>
        <v/>
      </c>
      <c r="K85" s="9">
        <f>IFERROR(INDEX('All products'!$K$2:$K$107,MATCH(80,'All products'!$Q$2:$Q$107,0))&amp;"","")</f>
        <v/>
      </c>
      <c r="L85" s="9">
        <f>IFERROR(INDEX('All products'!$L$2:$L$107,MATCH(80,'All products'!$Q$2:$Q$107,0))&amp;"","")</f>
        <v/>
      </c>
      <c r="M85" s="9">
        <f>IFERROR(INDEX('All products'!$M$2:$M$107,MATCH(80,'All products'!$Q$2:$Q$107,0))&amp;"","")</f>
        <v/>
      </c>
      <c r="N85" s="9">
        <f>IFERROR(INDEX('All products'!$N$2:$N$107,MATCH(80,'All products'!$Q$2:$Q$107,0))&amp;"","")</f>
        <v/>
      </c>
      <c r="O85" s="9">
        <f>IFERROR(HYPERLINK(INDEX('All products'!$O$2:$O$107,MATCH(80,'All products'!$Q$2:$Q$107,0))),"")</f>
        <v/>
      </c>
    </row>
    <row r="86" ht="15" customHeight="1" s="10">
      <c r="A86" s="9">
        <f>IFERROR(INDEX('All products'!$A$2:$A$107,MATCH(81,'All products'!$Q$2:$Q$107,0))&amp;"","")</f>
        <v/>
      </c>
      <c r="B86" s="9">
        <f>IFERROR(INDEX('All products'!$B$2:$B$107,MATCH(81,'All products'!$Q$2:$Q$107,0))&amp;"","")</f>
        <v/>
      </c>
      <c r="C86" s="9">
        <f>IFERROR(INDEX('All products'!$C$2:$C$107,MATCH(81,'All products'!$Q$2:$Q$107,0))&amp;"","")</f>
        <v/>
      </c>
      <c r="D86" s="9">
        <f>IFERROR(INDEX('All products'!$D$2:$D$107,MATCH(81,'All products'!$Q$2:$Q$107,0))&amp;"","")</f>
        <v/>
      </c>
      <c r="E86" s="9">
        <f>IFERROR(INDEX('All products'!$E$2:$E$107,MATCH(81,'All products'!$Q$2:$Q$107,0))&amp;"","")</f>
        <v/>
      </c>
      <c r="F86" s="9">
        <f>IFERROR(INDEX('All products'!$F$2:$F$107,MATCH(81,'All products'!$Q$2:$Q$107,0))&amp;"","")</f>
        <v/>
      </c>
      <c r="G86" s="9">
        <f>IFERROR(INDEX('All products'!$G$2:$G$107,MATCH(81,'All products'!$Q$2:$Q$107,0))&amp;"","")</f>
        <v/>
      </c>
      <c r="H86" s="9">
        <f>IFERROR(INDEX('All products'!$H$2:$H$107,MATCH(81,'All products'!$Q$2:$Q$107,0))&amp;"","")</f>
        <v/>
      </c>
      <c r="I86" s="9">
        <f>IFERROR(INDEX('All products'!$I$2:$I$107,MATCH(81,'All products'!$Q$2:$Q$107,0))&amp;"","")</f>
        <v/>
      </c>
      <c r="J86" s="9">
        <f>IFERROR(INDEX('All products'!$J$2:$J$107,MATCH(81,'All products'!$Q$2:$Q$107,0))&amp;"","")</f>
        <v/>
      </c>
      <c r="K86" s="9">
        <f>IFERROR(INDEX('All products'!$K$2:$K$107,MATCH(81,'All products'!$Q$2:$Q$107,0))&amp;"","")</f>
        <v/>
      </c>
      <c r="L86" s="9">
        <f>IFERROR(INDEX('All products'!$L$2:$L$107,MATCH(81,'All products'!$Q$2:$Q$107,0))&amp;"","")</f>
        <v/>
      </c>
      <c r="M86" s="9">
        <f>IFERROR(INDEX('All products'!$M$2:$M$107,MATCH(81,'All products'!$Q$2:$Q$107,0))&amp;"","")</f>
        <v/>
      </c>
      <c r="N86" s="9">
        <f>IFERROR(INDEX('All products'!$N$2:$N$107,MATCH(81,'All products'!$Q$2:$Q$107,0))&amp;"","")</f>
        <v/>
      </c>
      <c r="O86" s="9">
        <f>IFERROR(HYPERLINK(INDEX('All products'!$O$2:$O$107,MATCH(81,'All products'!$Q$2:$Q$107,0))),"")</f>
        <v/>
      </c>
    </row>
    <row r="87" ht="15" customHeight="1" s="10">
      <c r="A87" s="9">
        <f>IFERROR(INDEX('All products'!$A$2:$A$107,MATCH(82,'All products'!$Q$2:$Q$107,0))&amp;"","")</f>
        <v/>
      </c>
      <c r="B87" s="9">
        <f>IFERROR(INDEX('All products'!$B$2:$B$107,MATCH(82,'All products'!$Q$2:$Q$107,0))&amp;"","")</f>
        <v/>
      </c>
      <c r="C87" s="9">
        <f>IFERROR(INDEX('All products'!$C$2:$C$107,MATCH(82,'All products'!$Q$2:$Q$107,0))&amp;"","")</f>
        <v/>
      </c>
      <c r="D87" s="9">
        <f>IFERROR(INDEX('All products'!$D$2:$D$107,MATCH(82,'All products'!$Q$2:$Q$107,0))&amp;"","")</f>
        <v/>
      </c>
      <c r="E87" s="9">
        <f>IFERROR(INDEX('All products'!$E$2:$E$107,MATCH(82,'All products'!$Q$2:$Q$107,0))&amp;"","")</f>
        <v/>
      </c>
      <c r="F87" s="9">
        <f>IFERROR(INDEX('All products'!$F$2:$F$107,MATCH(82,'All products'!$Q$2:$Q$107,0))&amp;"","")</f>
        <v/>
      </c>
      <c r="G87" s="9">
        <f>IFERROR(INDEX('All products'!$G$2:$G$107,MATCH(82,'All products'!$Q$2:$Q$107,0))&amp;"","")</f>
        <v/>
      </c>
      <c r="H87" s="9">
        <f>IFERROR(INDEX('All products'!$H$2:$H$107,MATCH(82,'All products'!$Q$2:$Q$107,0))&amp;"","")</f>
        <v/>
      </c>
      <c r="I87" s="9">
        <f>IFERROR(INDEX('All products'!$I$2:$I$107,MATCH(82,'All products'!$Q$2:$Q$107,0))&amp;"","")</f>
        <v/>
      </c>
      <c r="J87" s="9">
        <f>IFERROR(INDEX('All products'!$J$2:$J$107,MATCH(82,'All products'!$Q$2:$Q$107,0))&amp;"","")</f>
        <v/>
      </c>
      <c r="K87" s="9">
        <f>IFERROR(INDEX('All products'!$K$2:$K$107,MATCH(82,'All products'!$Q$2:$Q$107,0))&amp;"","")</f>
        <v/>
      </c>
      <c r="L87" s="9">
        <f>IFERROR(INDEX('All products'!$L$2:$L$107,MATCH(82,'All products'!$Q$2:$Q$107,0))&amp;"","")</f>
        <v/>
      </c>
      <c r="M87" s="9">
        <f>IFERROR(INDEX('All products'!$M$2:$M$107,MATCH(82,'All products'!$Q$2:$Q$107,0))&amp;"","")</f>
        <v/>
      </c>
      <c r="N87" s="9">
        <f>IFERROR(INDEX('All products'!$N$2:$N$107,MATCH(82,'All products'!$Q$2:$Q$107,0))&amp;"","")</f>
        <v/>
      </c>
      <c r="O87" s="9">
        <f>IFERROR(HYPERLINK(INDEX('All products'!$O$2:$O$107,MATCH(82,'All products'!$Q$2:$Q$107,0))),"")</f>
        <v/>
      </c>
    </row>
    <row r="88" ht="15" customHeight="1" s="10">
      <c r="A88" s="9">
        <f>IFERROR(INDEX('All products'!$A$2:$A$107,MATCH(83,'All products'!$Q$2:$Q$107,0))&amp;"","")</f>
        <v/>
      </c>
      <c r="B88" s="9">
        <f>IFERROR(INDEX('All products'!$B$2:$B$107,MATCH(83,'All products'!$Q$2:$Q$107,0))&amp;"","")</f>
        <v/>
      </c>
      <c r="C88" s="9">
        <f>IFERROR(INDEX('All products'!$C$2:$C$107,MATCH(83,'All products'!$Q$2:$Q$107,0))&amp;"","")</f>
        <v/>
      </c>
      <c r="D88" s="9">
        <f>IFERROR(INDEX('All products'!$D$2:$D$107,MATCH(83,'All products'!$Q$2:$Q$107,0))&amp;"","")</f>
        <v/>
      </c>
      <c r="E88" s="9">
        <f>IFERROR(INDEX('All products'!$E$2:$E$107,MATCH(83,'All products'!$Q$2:$Q$107,0))&amp;"","")</f>
        <v/>
      </c>
      <c r="F88" s="9">
        <f>IFERROR(INDEX('All products'!$F$2:$F$107,MATCH(83,'All products'!$Q$2:$Q$107,0))&amp;"","")</f>
        <v/>
      </c>
      <c r="G88" s="9">
        <f>IFERROR(INDEX('All products'!$G$2:$G$107,MATCH(83,'All products'!$Q$2:$Q$107,0))&amp;"","")</f>
        <v/>
      </c>
      <c r="H88" s="9">
        <f>IFERROR(INDEX('All products'!$H$2:$H$107,MATCH(83,'All products'!$Q$2:$Q$107,0))&amp;"","")</f>
        <v/>
      </c>
      <c r="I88" s="9">
        <f>IFERROR(INDEX('All products'!$I$2:$I$107,MATCH(83,'All products'!$Q$2:$Q$107,0))&amp;"","")</f>
        <v/>
      </c>
      <c r="J88" s="9">
        <f>IFERROR(INDEX('All products'!$J$2:$J$107,MATCH(83,'All products'!$Q$2:$Q$107,0))&amp;"","")</f>
        <v/>
      </c>
      <c r="K88" s="9">
        <f>IFERROR(INDEX('All products'!$K$2:$K$107,MATCH(83,'All products'!$Q$2:$Q$107,0))&amp;"","")</f>
        <v/>
      </c>
      <c r="L88" s="9">
        <f>IFERROR(INDEX('All products'!$L$2:$L$107,MATCH(83,'All products'!$Q$2:$Q$107,0))&amp;"","")</f>
        <v/>
      </c>
      <c r="M88" s="9">
        <f>IFERROR(INDEX('All products'!$M$2:$M$107,MATCH(83,'All products'!$Q$2:$Q$107,0))&amp;"","")</f>
        <v/>
      </c>
      <c r="N88" s="9">
        <f>IFERROR(INDEX('All products'!$N$2:$N$107,MATCH(83,'All products'!$Q$2:$Q$107,0))&amp;"","")</f>
        <v/>
      </c>
      <c r="O88" s="9">
        <f>IFERROR(HYPERLINK(INDEX('All products'!$O$2:$O$107,MATCH(83,'All products'!$Q$2:$Q$107,0))),"")</f>
        <v/>
      </c>
    </row>
    <row r="89" ht="15" customHeight="1" s="10">
      <c r="A89" s="9">
        <f>IFERROR(INDEX('All products'!$A$2:$A$107,MATCH(84,'All products'!$Q$2:$Q$107,0))&amp;"","")</f>
        <v/>
      </c>
      <c r="B89" s="9">
        <f>IFERROR(INDEX('All products'!$B$2:$B$107,MATCH(84,'All products'!$Q$2:$Q$107,0))&amp;"","")</f>
        <v/>
      </c>
      <c r="C89" s="9">
        <f>IFERROR(INDEX('All products'!$C$2:$C$107,MATCH(84,'All products'!$Q$2:$Q$107,0))&amp;"","")</f>
        <v/>
      </c>
      <c r="D89" s="9">
        <f>IFERROR(INDEX('All products'!$D$2:$D$107,MATCH(84,'All products'!$Q$2:$Q$107,0))&amp;"","")</f>
        <v/>
      </c>
      <c r="E89" s="9">
        <f>IFERROR(INDEX('All products'!$E$2:$E$107,MATCH(84,'All products'!$Q$2:$Q$107,0))&amp;"","")</f>
        <v/>
      </c>
      <c r="F89" s="9">
        <f>IFERROR(INDEX('All products'!$F$2:$F$107,MATCH(84,'All products'!$Q$2:$Q$107,0))&amp;"","")</f>
        <v/>
      </c>
      <c r="G89" s="9">
        <f>IFERROR(INDEX('All products'!$G$2:$G$107,MATCH(84,'All products'!$Q$2:$Q$107,0))&amp;"","")</f>
        <v/>
      </c>
      <c r="H89" s="9">
        <f>IFERROR(INDEX('All products'!$H$2:$H$107,MATCH(84,'All products'!$Q$2:$Q$107,0))&amp;"","")</f>
        <v/>
      </c>
      <c r="I89" s="9">
        <f>IFERROR(INDEX('All products'!$I$2:$I$107,MATCH(84,'All products'!$Q$2:$Q$107,0))&amp;"","")</f>
        <v/>
      </c>
      <c r="J89" s="9">
        <f>IFERROR(INDEX('All products'!$J$2:$J$107,MATCH(84,'All products'!$Q$2:$Q$107,0))&amp;"","")</f>
        <v/>
      </c>
      <c r="K89" s="9">
        <f>IFERROR(INDEX('All products'!$K$2:$K$107,MATCH(84,'All products'!$Q$2:$Q$107,0))&amp;"","")</f>
        <v/>
      </c>
      <c r="L89" s="9">
        <f>IFERROR(INDEX('All products'!$L$2:$L$107,MATCH(84,'All products'!$Q$2:$Q$107,0))&amp;"","")</f>
        <v/>
      </c>
      <c r="M89" s="9">
        <f>IFERROR(INDEX('All products'!$M$2:$M$107,MATCH(84,'All products'!$Q$2:$Q$107,0))&amp;"","")</f>
        <v/>
      </c>
      <c r="N89" s="9">
        <f>IFERROR(INDEX('All products'!$N$2:$N$107,MATCH(84,'All products'!$Q$2:$Q$107,0))&amp;"","")</f>
        <v/>
      </c>
      <c r="O89" s="9">
        <f>IFERROR(HYPERLINK(INDEX('All products'!$O$2:$O$107,MATCH(84,'All products'!$Q$2:$Q$107,0))),"")</f>
        <v/>
      </c>
    </row>
    <row r="90" ht="15" customHeight="1" s="10">
      <c r="A90" s="9">
        <f>IFERROR(INDEX('All products'!$A$2:$A$107,MATCH(85,'All products'!$Q$2:$Q$107,0))&amp;"","")</f>
        <v/>
      </c>
      <c r="B90" s="9">
        <f>IFERROR(INDEX('All products'!$B$2:$B$107,MATCH(85,'All products'!$Q$2:$Q$107,0))&amp;"","")</f>
        <v/>
      </c>
      <c r="C90" s="9">
        <f>IFERROR(INDEX('All products'!$C$2:$C$107,MATCH(85,'All products'!$Q$2:$Q$107,0))&amp;"","")</f>
        <v/>
      </c>
      <c r="D90" s="9">
        <f>IFERROR(INDEX('All products'!$D$2:$D$107,MATCH(85,'All products'!$Q$2:$Q$107,0))&amp;"","")</f>
        <v/>
      </c>
      <c r="E90" s="9">
        <f>IFERROR(INDEX('All products'!$E$2:$E$107,MATCH(85,'All products'!$Q$2:$Q$107,0))&amp;"","")</f>
        <v/>
      </c>
      <c r="F90" s="9">
        <f>IFERROR(INDEX('All products'!$F$2:$F$107,MATCH(85,'All products'!$Q$2:$Q$107,0))&amp;"","")</f>
        <v/>
      </c>
      <c r="G90" s="9">
        <f>IFERROR(INDEX('All products'!$G$2:$G$107,MATCH(85,'All products'!$Q$2:$Q$107,0))&amp;"","")</f>
        <v/>
      </c>
      <c r="H90" s="9">
        <f>IFERROR(INDEX('All products'!$H$2:$H$107,MATCH(85,'All products'!$Q$2:$Q$107,0))&amp;"","")</f>
        <v/>
      </c>
      <c r="I90" s="9">
        <f>IFERROR(INDEX('All products'!$I$2:$I$107,MATCH(85,'All products'!$Q$2:$Q$107,0))&amp;"","")</f>
        <v/>
      </c>
      <c r="J90" s="9">
        <f>IFERROR(INDEX('All products'!$J$2:$J$107,MATCH(85,'All products'!$Q$2:$Q$107,0))&amp;"","")</f>
        <v/>
      </c>
      <c r="K90" s="9">
        <f>IFERROR(INDEX('All products'!$K$2:$K$107,MATCH(85,'All products'!$Q$2:$Q$107,0))&amp;"","")</f>
        <v/>
      </c>
      <c r="L90" s="9">
        <f>IFERROR(INDEX('All products'!$L$2:$L$107,MATCH(85,'All products'!$Q$2:$Q$107,0))&amp;"","")</f>
        <v/>
      </c>
      <c r="M90" s="9">
        <f>IFERROR(INDEX('All products'!$M$2:$M$107,MATCH(85,'All products'!$Q$2:$Q$107,0))&amp;"","")</f>
        <v/>
      </c>
      <c r="N90" s="9">
        <f>IFERROR(INDEX('All products'!$N$2:$N$107,MATCH(85,'All products'!$Q$2:$Q$107,0))&amp;"","")</f>
        <v/>
      </c>
      <c r="O90" s="9">
        <f>IFERROR(HYPERLINK(INDEX('All products'!$O$2:$O$107,MATCH(85,'All products'!$Q$2:$Q$107,0))),"")</f>
        <v/>
      </c>
    </row>
    <row r="91" ht="15" customHeight="1" s="10">
      <c r="A91" s="9">
        <f>IFERROR(INDEX('All products'!$A$2:$A$107,MATCH(86,'All products'!$Q$2:$Q$107,0))&amp;"","")</f>
        <v/>
      </c>
      <c r="B91" s="9">
        <f>IFERROR(INDEX('All products'!$B$2:$B$107,MATCH(86,'All products'!$Q$2:$Q$107,0))&amp;"","")</f>
        <v/>
      </c>
      <c r="C91" s="9">
        <f>IFERROR(INDEX('All products'!$C$2:$C$107,MATCH(86,'All products'!$Q$2:$Q$107,0))&amp;"","")</f>
        <v/>
      </c>
      <c r="D91" s="9">
        <f>IFERROR(INDEX('All products'!$D$2:$D$107,MATCH(86,'All products'!$Q$2:$Q$107,0))&amp;"","")</f>
        <v/>
      </c>
      <c r="E91" s="9">
        <f>IFERROR(INDEX('All products'!$E$2:$E$107,MATCH(86,'All products'!$Q$2:$Q$107,0))&amp;"","")</f>
        <v/>
      </c>
      <c r="F91" s="9">
        <f>IFERROR(INDEX('All products'!$F$2:$F$107,MATCH(86,'All products'!$Q$2:$Q$107,0))&amp;"","")</f>
        <v/>
      </c>
      <c r="G91" s="9">
        <f>IFERROR(INDEX('All products'!$G$2:$G$107,MATCH(86,'All products'!$Q$2:$Q$107,0))&amp;"","")</f>
        <v/>
      </c>
      <c r="H91" s="9">
        <f>IFERROR(INDEX('All products'!$H$2:$H$107,MATCH(86,'All products'!$Q$2:$Q$107,0))&amp;"","")</f>
        <v/>
      </c>
      <c r="I91" s="9">
        <f>IFERROR(INDEX('All products'!$I$2:$I$107,MATCH(86,'All products'!$Q$2:$Q$107,0))&amp;"","")</f>
        <v/>
      </c>
      <c r="J91" s="9">
        <f>IFERROR(INDEX('All products'!$J$2:$J$107,MATCH(86,'All products'!$Q$2:$Q$107,0))&amp;"","")</f>
        <v/>
      </c>
      <c r="K91" s="9">
        <f>IFERROR(INDEX('All products'!$K$2:$K$107,MATCH(86,'All products'!$Q$2:$Q$107,0))&amp;"","")</f>
        <v/>
      </c>
      <c r="L91" s="9">
        <f>IFERROR(INDEX('All products'!$L$2:$L$107,MATCH(86,'All products'!$Q$2:$Q$107,0))&amp;"","")</f>
        <v/>
      </c>
      <c r="M91" s="9">
        <f>IFERROR(INDEX('All products'!$M$2:$M$107,MATCH(86,'All products'!$Q$2:$Q$107,0))&amp;"","")</f>
        <v/>
      </c>
      <c r="N91" s="9">
        <f>IFERROR(INDEX('All products'!$N$2:$N$107,MATCH(86,'All products'!$Q$2:$Q$107,0))&amp;"","")</f>
        <v/>
      </c>
      <c r="O91" s="9">
        <f>IFERROR(HYPERLINK(INDEX('All products'!$O$2:$O$107,MATCH(86,'All products'!$Q$2:$Q$107,0))),"")</f>
        <v/>
      </c>
    </row>
    <row r="92" ht="15" customHeight="1" s="10">
      <c r="A92" s="9">
        <f>IFERROR(INDEX('All products'!$A$2:$A$107,MATCH(87,'All products'!$Q$2:$Q$107,0))&amp;"","")</f>
        <v/>
      </c>
      <c r="B92" s="9">
        <f>IFERROR(INDEX('All products'!$B$2:$B$107,MATCH(87,'All products'!$Q$2:$Q$107,0))&amp;"","")</f>
        <v/>
      </c>
      <c r="C92" s="9">
        <f>IFERROR(INDEX('All products'!$C$2:$C$107,MATCH(87,'All products'!$Q$2:$Q$107,0))&amp;"","")</f>
        <v/>
      </c>
      <c r="D92" s="9">
        <f>IFERROR(INDEX('All products'!$D$2:$D$107,MATCH(87,'All products'!$Q$2:$Q$107,0))&amp;"","")</f>
        <v/>
      </c>
      <c r="E92" s="9">
        <f>IFERROR(INDEX('All products'!$E$2:$E$107,MATCH(87,'All products'!$Q$2:$Q$107,0))&amp;"","")</f>
        <v/>
      </c>
      <c r="F92" s="9">
        <f>IFERROR(INDEX('All products'!$F$2:$F$107,MATCH(87,'All products'!$Q$2:$Q$107,0))&amp;"","")</f>
        <v/>
      </c>
      <c r="G92" s="9">
        <f>IFERROR(INDEX('All products'!$G$2:$G$107,MATCH(87,'All products'!$Q$2:$Q$107,0))&amp;"","")</f>
        <v/>
      </c>
      <c r="H92" s="9">
        <f>IFERROR(INDEX('All products'!$H$2:$H$107,MATCH(87,'All products'!$Q$2:$Q$107,0))&amp;"","")</f>
        <v/>
      </c>
      <c r="I92" s="9">
        <f>IFERROR(INDEX('All products'!$I$2:$I$107,MATCH(87,'All products'!$Q$2:$Q$107,0))&amp;"","")</f>
        <v/>
      </c>
      <c r="J92" s="9">
        <f>IFERROR(INDEX('All products'!$J$2:$J$107,MATCH(87,'All products'!$Q$2:$Q$107,0))&amp;"","")</f>
        <v/>
      </c>
      <c r="K92" s="9">
        <f>IFERROR(INDEX('All products'!$K$2:$K$107,MATCH(87,'All products'!$Q$2:$Q$107,0))&amp;"","")</f>
        <v/>
      </c>
      <c r="L92" s="9">
        <f>IFERROR(INDEX('All products'!$L$2:$L$107,MATCH(87,'All products'!$Q$2:$Q$107,0))&amp;"","")</f>
        <v/>
      </c>
      <c r="M92" s="9">
        <f>IFERROR(INDEX('All products'!$M$2:$M$107,MATCH(87,'All products'!$Q$2:$Q$107,0))&amp;"","")</f>
        <v/>
      </c>
      <c r="N92" s="9">
        <f>IFERROR(INDEX('All products'!$N$2:$N$107,MATCH(87,'All products'!$Q$2:$Q$107,0))&amp;"","")</f>
        <v/>
      </c>
      <c r="O92" s="9">
        <f>IFERROR(HYPERLINK(INDEX('All products'!$O$2:$O$107,MATCH(87,'All products'!$Q$2:$Q$107,0))),"")</f>
        <v/>
      </c>
    </row>
    <row r="93" ht="15" customHeight="1" s="10">
      <c r="A93" s="9">
        <f>IFERROR(INDEX('All products'!$A$2:$A$107,MATCH(88,'All products'!$Q$2:$Q$107,0))&amp;"","")</f>
        <v/>
      </c>
      <c r="B93" s="9">
        <f>IFERROR(INDEX('All products'!$B$2:$B$107,MATCH(88,'All products'!$Q$2:$Q$107,0))&amp;"","")</f>
        <v/>
      </c>
      <c r="C93" s="9">
        <f>IFERROR(INDEX('All products'!$C$2:$C$107,MATCH(88,'All products'!$Q$2:$Q$107,0))&amp;"","")</f>
        <v/>
      </c>
      <c r="D93" s="9">
        <f>IFERROR(INDEX('All products'!$D$2:$D$107,MATCH(88,'All products'!$Q$2:$Q$107,0))&amp;"","")</f>
        <v/>
      </c>
      <c r="E93" s="9">
        <f>IFERROR(INDEX('All products'!$E$2:$E$107,MATCH(88,'All products'!$Q$2:$Q$107,0))&amp;"","")</f>
        <v/>
      </c>
      <c r="F93" s="9">
        <f>IFERROR(INDEX('All products'!$F$2:$F$107,MATCH(88,'All products'!$Q$2:$Q$107,0))&amp;"","")</f>
        <v/>
      </c>
      <c r="G93" s="9">
        <f>IFERROR(INDEX('All products'!$G$2:$G$107,MATCH(88,'All products'!$Q$2:$Q$107,0))&amp;"","")</f>
        <v/>
      </c>
      <c r="H93" s="9">
        <f>IFERROR(INDEX('All products'!$H$2:$H$107,MATCH(88,'All products'!$Q$2:$Q$107,0))&amp;"","")</f>
        <v/>
      </c>
      <c r="I93" s="9">
        <f>IFERROR(INDEX('All products'!$I$2:$I$107,MATCH(88,'All products'!$Q$2:$Q$107,0))&amp;"","")</f>
        <v/>
      </c>
      <c r="J93" s="9">
        <f>IFERROR(INDEX('All products'!$J$2:$J$107,MATCH(88,'All products'!$Q$2:$Q$107,0))&amp;"","")</f>
        <v/>
      </c>
      <c r="K93" s="9">
        <f>IFERROR(INDEX('All products'!$K$2:$K$107,MATCH(88,'All products'!$Q$2:$Q$107,0))&amp;"","")</f>
        <v/>
      </c>
      <c r="L93" s="9">
        <f>IFERROR(INDEX('All products'!$L$2:$L$107,MATCH(88,'All products'!$Q$2:$Q$107,0))&amp;"","")</f>
        <v/>
      </c>
      <c r="M93" s="9">
        <f>IFERROR(INDEX('All products'!$M$2:$M$107,MATCH(88,'All products'!$Q$2:$Q$107,0))&amp;"","")</f>
        <v/>
      </c>
      <c r="N93" s="9">
        <f>IFERROR(INDEX('All products'!$N$2:$N$107,MATCH(88,'All products'!$Q$2:$Q$107,0))&amp;"","")</f>
        <v/>
      </c>
      <c r="O93" s="9">
        <f>IFERROR(HYPERLINK(INDEX('All products'!$O$2:$O$107,MATCH(88,'All products'!$Q$2:$Q$107,0))),"")</f>
        <v/>
      </c>
    </row>
    <row r="94" ht="15" customHeight="1" s="10">
      <c r="A94" s="9">
        <f>IFERROR(INDEX('All products'!$A$2:$A$107,MATCH(89,'All products'!$Q$2:$Q$107,0))&amp;"","")</f>
        <v/>
      </c>
      <c r="B94" s="9">
        <f>IFERROR(INDEX('All products'!$B$2:$B$107,MATCH(89,'All products'!$Q$2:$Q$107,0))&amp;"","")</f>
        <v/>
      </c>
      <c r="C94" s="9">
        <f>IFERROR(INDEX('All products'!$C$2:$C$107,MATCH(89,'All products'!$Q$2:$Q$107,0))&amp;"","")</f>
        <v/>
      </c>
      <c r="D94" s="9">
        <f>IFERROR(INDEX('All products'!$D$2:$D$107,MATCH(89,'All products'!$Q$2:$Q$107,0))&amp;"","")</f>
        <v/>
      </c>
      <c r="E94" s="9">
        <f>IFERROR(INDEX('All products'!$E$2:$E$107,MATCH(89,'All products'!$Q$2:$Q$107,0))&amp;"","")</f>
        <v/>
      </c>
      <c r="F94" s="9">
        <f>IFERROR(INDEX('All products'!$F$2:$F$107,MATCH(89,'All products'!$Q$2:$Q$107,0))&amp;"","")</f>
        <v/>
      </c>
      <c r="G94" s="9">
        <f>IFERROR(INDEX('All products'!$G$2:$G$107,MATCH(89,'All products'!$Q$2:$Q$107,0))&amp;"","")</f>
        <v/>
      </c>
      <c r="H94" s="9">
        <f>IFERROR(INDEX('All products'!$H$2:$H$107,MATCH(89,'All products'!$Q$2:$Q$107,0))&amp;"","")</f>
        <v/>
      </c>
      <c r="I94" s="9">
        <f>IFERROR(INDEX('All products'!$I$2:$I$107,MATCH(89,'All products'!$Q$2:$Q$107,0))&amp;"","")</f>
        <v/>
      </c>
      <c r="J94" s="9">
        <f>IFERROR(INDEX('All products'!$J$2:$J$107,MATCH(89,'All products'!$Q$2:$Q$107,0))&amp;"","")</f>
        <v/>
      </c>
      <c r="K94" s="9">
        <f>IFERROR(INDEX('All products'!$K$2:$K$107,MATCH(89,'All products'!$Q$2:$Q$107,0))&amp;"","")</f>
        <v/>
      </c>
      <c r="L94" s="9">
        <f>IFERROR(INDEX('All products'!$L$2:$L$107,MATCH(89,'All products'!$Q$2:$Q$107,0))&amp;"","")</f>
        <v/>
      </c>
      <c r="M94" s="9">
        <f>IFERROR(INDEX('All products'!$M$2:$M$107,MATCH(89,'All products'!$Q$2:$Q$107,0))&amp;"","")</f>
        <v/>
      </c>
      <c r="N94" s="9">
        <f>IFERROR(INDEX('All products'!$N$2:$N$107,MATCH(89,'All products'!$Q$2:$Q$107,0))&amp;"","")</f>
        <v/>
      </c>
      <c r="O94" s="9">
        <f>IFERROR(HYPERLINK(INDEX('All products'!$O$2:$O$107,MATCH(89,'All products'!$Q$2:$Q$107,0))),"")</f>
        <v/>
      </c>
    </row>
    <row r="95" ht="15" customHeight="1" s="10">
      <c r="A95" s="9">
        <f>IFERROR(INDEX('All products'!$A$2:$A$107,MATCH(90,'All products'!$Q$2:$Q$107,0))&amp;"","")</f>
        <v/>
      </c>
      <c r="B95" s="9">
        <f>IFERROR(INDEX('All products'!$B$2:$B$107,MATCH(90,'All products'!$Q$2:$Q$107,0))&amp;"","")</f>
        <v/>
      </c>
      <c r="C95" s="9">
        <f>IFERROR(INDEX('All products'!$C$2:$C$107,MATCH(90,'All products'!$Q$2:$Q$107,0))&amp;"","")</f>
        <v/>
      </c>
      <c r="D95" s="9">
        <f>IFERROR(INDEX('All products'!$D$2:$D$107,MATCH(90,'All products'!$Q$2:$Q$107,0))&amp;"","")</f>
        <v/>
      </c>
      <c r="E95" s="9">
        <f>IFERROR(INDEX('All products'!$E$2:$E$107,MATCH(90,'All products'!$Q$2:$Q$107,0))&amp;"","")</f>
        <v/>
      </c>
      <c r="F95" s="9">
        <f>IFERROR(INDEX('All products'!$F$2:$F$107,MATCH(90,'All products'!$Q$2:$Q$107,0))&amp;"","")</f>
        <v/>
      </c>
      <c r="G95" s="9">
        <f>IFERROR(INDEX('All products'!$G$2:$G$107,MATCH(90,'All products'!$Q$2:$Q$107,0))&amp;"","")</f>
        <v/>
      </c>
      <c r="H95" s="9">
        <f>IFERROR(INDEX('All products'!$H$2:$H$107,MATCH(90,'All products'!$Q$2:$Q$107,0))&amp;"","")</f>
        <v/>
      </c>
      <c r="I95" s="9">
        <f>IFERROR(INDEX('All products'!$I$2:$I$107,MATCH(90,'All products'!$Q$2:$Q$107,0))&amp;"","")</f>
        <v/>
      </c>
      <c r="J95" s="9">
        <f>IFERROR(INDEX('All products'!$J$2:$J$107,MATCH(90,'All products'!$Q$2:$Q$107,0))&amp;"","")</f>
        <v/>
      </c>
      <c r="K95" s="9">
        <f>IFERROR(INDEX('All products'!$K$2:$K$107,MATCH(90,'All products'!$Q$2:$Q$107,0))&amp;"","")</f>
        <v/>
      </c>
      <c r="L95" s="9">
        <f>IFERROR(INDEX('All products'!$L$2:$L$107,MATCH(90,'All products'!$Q$2:$Q$107,0))&amp;"","")</f>
        <v/>
      </c>
      <c r="M95" s="9">
        <f>IFERROR(INDEX('All products'!$M$2:$M$107,MATCH(90,'All products'!$Q$2:$Q$107,0))&amp;"","")</f>
        <v/>
      </c>
      <c r="N95" s="9">
        <f>IFERROR(INDEX('All products'!$N$2:$N$107,MATCH(90,'All products'!$Q$2:$Q$107,0))&amp;"","")</f>
        <v/>
      </c>
      <c r="O95" s="9">
        <f>IFERROR(HYPERLINK(INDEX('All products'!$O$2:$O$107,MATCH(90,'All products'!$Q$2:$Q$107,0))),"")</f>
        <v/>
      </c>
    </row>
    <row r="96" ht="15" customHeight="1" s="10">
      <c r="A96" s="9">
        <f>IFERROR(INDEX('All products'!$A$2:$A$107,MATCH(91,'All products'!$Q$2:$Q$107,0))&amp;"","")</f>
        <v/>
      </c>
      <c r="B96" s="9">
        <f>IFERROR(INDEX('All products'!$B$2:$B$107,MATCH(91,'All products'!$Q$2:$Q$107,0))&amp;"","")</f>
        <v/>
      </c>
      <c r="C96" s="9">
        <f>IFERROR(INDEX('All products'!$C$2:$C$107,MATCH(91,'All products'!$Q$2:$Q$107,0))&amp;"","")</f>
        <v/>
      </c>
      <c r="D96" s="9">
        <f>IFERROR(INDEX('All products'!$D$2:$D$107,MATCH(91,'All products'!$Q$2:$Q$107,0))&amp;"","")</f>
        <v/>
      </c>
      <c r="E96" s="9">
        <f>IFERROR(INDEX('All products'!$E$2:$E$107,MATCH(91,'All products'!$Q$2:$Q$107,0))&amp;"","")</f>
        <v/>
      </c>
      <c r="F96" s="9">
        <f>IFERROR(INDEX('All products'!$F$2:$F$107,MATCH(91,'All products'!$Q$2:$Q$107,0))&amp;"","")</f>
        <v/>
      </c>
      <c r="G96" s="9">
        <f>IFERROR(INDEX('All products'!$G$2:$G$107,MATCH(91,'All products'!$Q$2:$Q$107,0))&amp;"","")</f>
        <v/>
      </c>
      <c r="H96" s="9">
        <f>IFERROR(INDEX('All products'!$H$2:$H$107,MATCH(91,'All products'!$Q$2:$Q$107,0))&amp;"","")</f>
        <v/>
      </c>
      <c r="I96" s="9">
        <f>IFERROR(INDEX('All products'!$I$2:$I$107,MATCH(91,'All products'!$Q$2:$Q$107,0))&amp;"","")</f>
        <v/>
      </c>
      <c r="J96" s="9">
        <f>IFERROR(INDEX('All products'!$J$2:$J$107,MATCH(91,'All products'!$Q$2:$Q$107,0))&amp;"","")</f>
        <v/>
      </c>
      <c r="K96" s="9">
        <f>IFERROR(INDEX('All products'!$K$2:$K$107,MATCH(91,'All products'!$Q$2:$Q$107,0))&amp;"","")</f>
        <v/>
      </c>
      <c r="L96" s="9">
        <f>IFERROR(INDEX('All products'!$L$2:$L$107,MATCH(91,'All products'!$Q$2:$Q$107,0))&amp;"","")</f>
        <v/>
      </c>
      <c r="M96" s="9">
        <f>IFERROR(INDEX('All products'!$M$2:$M$107,MATCH(91,'All products'!$Q$2:$Q$107,0))&amp;"","")</f>
        <v/>
      </c>
      <c r="N96" s="9">
        <f>IFERROR(INDEX('All products'!$N$2:$N$107,MATCH(91,'All products'!$Q$2:$Q$107,0))&amp;"","")</f>
        <v/>
      </c>
      <c r="O96" s="9">
        <f>IFERROR(HYPERLINK(INDEX('All products'!$O$2:$O$107,MATCH(91,'All products'!$Q$2:$Q$107,0))),"")</f>
        <v/>
      </c>
    </row>
    <row r="97" ht="15" customHeight="1" s="10">
      <c r="A97" s="9">
        <f>IFERROR(INDEX('All products'!$A$2:$A$107,MATCH(92,'All products'!$Q$2:$Q$107,0))&amp;"","")</f>
        <v/>
      </c>
      <c r="B97" s="9">
        <f>IFERROR(INDEX('All products'!$B$2:$B$107,MATCH(92,'All products'!$Q$2:$Q$107,0))&amp;"","")</f>
        <v/>
      </c>
      <c r="C97" s="9">
        <f>IFERROR(INDEX('All products'!$C$2:$C$107,MATCH(92,'All products'!$Q$2:$Q$107,0))&amp;"","")</f>
        <v/>
      </c>
      <c r="D97" s="9">
        <f>IFERROR(INDEX('All products'!$D$2:$D$107,MATCH(92,'All products'!$Q$2:$Q$107,0))&amp;"","")</f>
        <v/>
      </c>
      <c r="E97" s="9">
        <f>IFERROR(INDEX('All products'!$E$2:$E$107,MATCH(92,'All products'!$Q$2:$Q$107,0))&amp;"","")</f>
        <v/>
      </c>
      <c r="F97" s="9">
        <f>IFERROR(INDEX('All products'!$F$2:$F$107,MATCH(92,'All products'!$Q$2:$Q$107,0))&amp;"","")</f>
        <v/>
      </c>
      <c r="G97" s="9">
        <f>IFERROR(INDEX('All products'!$G$2:$G$107,MATCH(92,'All products'!$Q$2:$Q$107,0))&amp;"","")</f>
        <v/>
      </c>
      <c r="H97" s="9">
        <f>IFERROR(INDEX('All products'!$H$2:$H$107,MATCH(92,'All products'!$Q$2:$Q$107,0))&amp;"","")</f>
        <v/>
      </c>
      <c r="I97" s="9">
        <f>IFERROR(INDEX('All products'!$I$2:$I$107,MATCH(92,'All products'!$Q$2:$Q$107,0))&amp;"","")</f>
        <v/>
      </c>
      <c r="J97" s="9">
        <f>IFERROR(INDEX('All products'!$J$2:$J$107,MATCH(92,'All products'!$Q$2:$Q$107,0))&amp;"","")</f>
        <v/>
      </c>
      <c r="K97" s="9">
        <f>IFERROR(INDEX('All products'!$K$2:$K$107,MATCH(92,'All products'!$Q$2:$Q$107,0))&amp;"","")</f>
        <v/>
      </c>
      <c r="L97" s="9">
        <f>IFERROR(INDEX('All products'!$L$2:$L$107,MATCH(92,'All products'!$Q$2:$Q$107,0))&amp;"","")</f>
        <v/>
      </c>
      <c r="M97" s="9">
        <f>IFERROR(INDEX('All products'!$M$2:$M$107,MATCH(92,'All products'!$Q$2:$Q$107,0))&amp;"","")</f>
        <v/>
      </c>
      <c r="N97" s="9">
        <f>IFERROR(INDEX('All products'!$N$2:$N$107,MATCH(92,'All products'!$Q$2:$Q$107,0))&amp;"","")</f>
        <v/>
      </c>
      <c r="O97" s="9">
        <f>IFERROR(HYPERLINK(INDEX('All products'!$O$2:$O$107,MATCH(92,'All products'!$Q$2:$Q$107,0))),"")</f>
        <v/>
      </c>
    </row>
    <row r="98" ht="15" customHeight="1" s="10">
      <c r="A98" s="9">
        <f>IFERROR(INDEX('All products'!$A$2:$A$107,MATCH(93,'All products'!$Q$2:$Q$107,0))&amp;"","")</f>
        <v/>
      </c>
      <c r="B98" s="9">
        <f>IFERROR(INDEX('All products'!$B$2:$B$107,MATCH(93,'All products'!$Q$2:$Q$107,0))&amp;"","")</f>
        <v/>
      </c>
      <c r="C98" s="9">
        <f>IFERROR(INDEX('All products'!$C$2:$C$107,MATCH(93,'All products'!$Q$2:$Q$107,0))&amp;"","")</f>
        <v/>
      </c>
      <c r="D98" s="9">
        <f>IFERROR(INDEX('All products'!$D$2:$D$107,MATCH(93,'All products'!$Q$2:$Q$107,0))&amp;"","")</f>
        <v/>
      </c>
      <c r="E98" s="9">
        <f>IFERROR(INDEX('All products'!$E$2:$E$107,MATCH(93,'All products'!$Q$2:$Q$107,0))&amp;"","")</f>
        <v/>
      </c>
      <c r="F98" s="9">
        <f>IFERROR(INDEX('All products'!$F$2:$F$107,MATCH(93,'All products'!$Q$2:$Q$107,0))&amp;"","")</f>
        <v/>
      </c>
      <c r="G98" s="9">
        <f>IFERROR(INDEX('All products'!$G$2:$G$107,MATCH(93,'All products'!$Q$2:$Q$107,0))&amp;"","")</f>
        <v/>
      </c>
      <c r="H98" s="9">
        <f>IFERROR(INDEX('All products'!$H$2:$H$107,MATCH(93,'All products'!$Q$2:$Q$107,0))&amp;"","")</f>
        <v/>
      </c>
      <c r="I98" s="9">
        <f>IFERROR(INDEX('All products'!$I$2:$I$107,MATCH(93,'All products'!$Q$2:$Q$107,0))&amp;"","")</f>
        <v/>
      </c>
      <c r="J98" s="9">
        <f>IFERROR(INDEX('All products'!$J$2:$J$107,MATCH(93,'All products'!$Q$2:$Q$107,0))&amp;"","")</f>
        <v/>
      </c>
      <c r="K98" s="9">
        <f>IFERROR(INDEX('All products'!$K$2:$K$107,MATCH(93,'All products'!$Q$2:$Q$107,0))&amp;"","")</f>
        <v/>
      </c>
      <c r="L98" s="9">
        <f>IFERROR(INDEX('All products'!$L$2:$L$107,MATCH(93,'All products'!$Q$2:$Q$107,0))&amp;"","")</f>
        <v/>
      </c>
      <c r="M98" s="9">
        <f>IFERROR(INDEX('All products'!$M$2:$M$107,MATCH(93,'All products'!$Q$2:$Q$107,0))&amp;"","")</f>
        <v/>
      </c>
      <c r="N98" s="9">
        <f>IFERROR(INDEX('All products'!$N$2:$N$107,MATCH(93,'All products'!$Q$2:$Q$107,0))&amp;"","")</f>
        <v/>
      </c>
      <c r="O98" s="9">
        <f>IFERROR(HYPERLINK(INDEX('All products'!$O$2:$O$107,MATCH(93,'All products'!$Q$2:$Q$107,0))),"")</f>
        <v/>
      </c>
    </row>
    <row r="99" ht="15" customHeight="1" s="10">
      <c r="A99" s="9">
        <f>IFERROR(INDEX('All products'!$A$2:$A$107,MATCH(94,'All products'!$Q$2:$Q$107,0))&amp;"","")</f>
        <v/>
      </c>
      <c r="B99" s="9">
        <f>IFERROR(INDEX('All products'!$B$2:$B$107,MATCH(94,'All products'!$Q$2:$Q$107,0))&amp;"","")</f>
        <v/>
      </c>
      <c r="C99" s="9">
        <f>IFERROR(INDEX('All products'!$C$2:$C$107,MATCH(94,'All products'!$Q$2:$Q$107,0))&amp;"","")</f>
        <v/>
      </c>
      <c r="D99" s="9">
        <f>IFERROR(INDEX('All products'!$D$2:$D$107,MATCH(94,'All products'!$Q$2:$Q$107,0))&amp;"","")</f>
        <v/>
      </c>
      <c r="E99" s="9">
        <f>IFERROR(INDEX('All products'!$E$2:$E$107,MATCH(94,'All products'!$Q$2:$Q$107,0))&amp;"","")</f>
        <v/>
      </c>
      <c r="F99" s="9">
        <f>IFERROR(INDEX('All products'!$F$2:$F$107,MATCH(94,'All products'!$Q$2:$Q$107,0))&amp;"","")</f>
        <v/>
      </c>
      <c r="G99" s="9">
        <f>IFERROR(INDEX('All products'!$G$2:$G$107,MATCH(94,'All products'!$Q$2:$Q$107,0))&amp;"","")</f>
        <v/>
      </c>
      <c r="H99" s="9">
        <f>IFERROR(INDEX('All products'!$H$2:$H$107,MATCH(94,'All products'!$Q$2:$Q$107,0))&amp;"","")</f>
        <v/>
      </c>
      <c r="I99" s="9">
        <f>IFERROR(INDEX('All products'!$I$2:$I$107,MATCH(94,'All products'!$Q$2:$Q$107,0))&amp;"","")</f>
        <v/>
      </c>
      <c r="J99" s="9">
        <f>IFERROR(INDEX('All products'!$J$2:$J$107,MATCH(94,'All products'!$Q$2:$Q$107,0))&amp;"","")</f>
        <v/>
      </c>
      <c r="K99" s="9">
        <f>IFERROR(INDEX('All products'!$K$2:$K$107,MATCH(94,'All products'!$Q$2:$Q$107,0))&amp;"","")</f>
        <v/>
      </c>
      <c r="L99" s="9">
        <f>IFERROR(INDEX('All products'!$L$2:$L$107,MATCH(94,'All products'!$Q$2:$Q$107,0))&amp;"","")</f>
        <v/>
      </c>
      <c r="M99" s="9">
        <f>IFERROR(INDEX('All products'!$M$2:$M$107,MATCH(94,'All products'!$Q$2:$Q$107,0))&amp;"","")</f>
        <v/>
      </c>
      <c r="N99" s="9">
        <f>IFERROR(INDEX('All products'!$N$2:$N$107,MATCH(94,'All products'!$Q$2:$Q$107,0))&amp;"","")</f>
        <v/>
      </c>
      <c r="O99" s="9">
        <f>IFERROR(HYPERLINK(INDEX('All products'!$O$2:$O$107,MATCH(94,'All products'!$Q$2:$Q$107,0))),"")</f>
        <v/>
      </c>
    </row>
    <row r="100" ht="15" customHeight="1" s="10">
      <c r="A100" s="9">
        <f>IFERROR(INDEX('All products'!$A$2:$A$107,MATCH(95,'All products'!$Q$2:$Q$107,0))&amp;"","")</f>
        <v/>
      </c>
      <c r="B100" s="9">
        <f>IFERROR(INDEX('All products'!$B$2:$B$107,MATCH(95,'All products'!$Q$2:$Q$107,0))&amp;"","")</f>
        <v/>
      </c>
      <c r="C100" s="9">
        <f>IFERROR(INDEX('All products'!$C$2:$C$107,MATCH(95,'All products'!$Q$2:$Q$107,0))&amp;"","")</f>
        <v/>
      </c>
      <c r="D100" s="9">
        <f>IFERROR(INDEX('All products'!$D$2:$D$107,MATCH(95,'All products'!$Q$2:$Q$107,0))&amp;"","")</f>
        <v/>
      </c>
      <c r="E100" s="9">
        <f>IFERROR(INDEX('All products'!$E$2:$E$107,MATCH(95,'All products'!$Q$2:$Q$107,0))&amp;"","")</f>
        <v/>
      </c>
      <c r="F100" s="9">
        <f>IFERROR(INDEX('All products'!$F$2:$F$107,MATCH(95,'All products'!$Q$2:$Q$107,0))&amp;"","")</f>
        <v/>
      </c>
      <c r="G100" s="9">
        <f>IFERROR(INDEX('All products'!$G$2:$G$107,MATCH(95,'All products'!$Q$2:$Q$107,0))&amp;"","")</f>
        <v/>
      </c>
      <c r="H100" s="9">
        <f>IFERROR(INDEX('All products'!$H$2:$H$107,MATCH(95,'All products'!$Q$2:$Q$107,0))&amp;"","")</f>
        <v/>
      </c>
      <c r="I100" s="9">
        <f>IFERROR(INDEX('All products'!$I$2:$I$107,MATCH(95,'All products'!$Q$2:$Q$107,0))&amp;"","")</f>
        <v/>
      </c>
      <c r="J100" s="9">
        <f>IFERROR(INDEX('All products'!$J$2:$J$107,MATCH(95,'All products'!$Q$2:$Q$107,0))&amp;"","")</f>
        <v/>
      </c>
      <c r="K100" s="9">
        <f>IFERROR(INDEX('All products'!$K$2:$K$107,MATCH(95,'All products'!$Q$2:$Q$107,0))&amp;"","")</f>
        <v/>
      </c>
      <c r="L100" s="9">
        <f>IFERROR(INDEX('All products'!$L$2:$L$107,MATCH(95,'All products'!$Q$2:$Q$107,0))&amp;"","")</f>
        <v/>
      </c>
      <c r="M100" s="9">
        <f>IFERROR(INDEX('All products'!$M$2:$M$107,MATCH(95,'All products'!$Q$2:$Q$107,0))&amp;"","")</f>
        <v/>
      </c>
      <c r="N100" s="9">
        <f>IFERROR(INDEX('All products'!$N$2:$N$107,MATCH(95,'All products'!$Q$2:$Q$107,0))&amp;"","")</f>
        <v/>
      </c>
      <c r="O100" s="9">
        <f>IFERROR(HYPERLINK(INDEX('All products'!$O$2:$O$107,MATCH(95,'All products'!$Q$2:$Q$107,0))),"")</f>
        <v/>
      </c>
    </row>
    <row r="101" ht="15" customHeight="1" s="10">
      <c r="A101" s="9">
        <f>IFERROR(INDEX('All products'!$A$2:$A$107,MATCH(96,'All products'!$Q$2:$Q$107,0))&amp;"","")</f>
        <v/>
      </c>
      <c r="B101" s="9">
        <f>IFERROR(INDEX('All products'!$B$2:$B$107,MATCH(96,'All products'!$Q$2:$Q$107,0))&amp;"","")</f>
        <v/>
      </c>
      <c r="C101" s="9">
        <f>IFERROR(INDEX('All products'!$C$2:$C$107,MATCH(96,'All products'!$Q$2:$Q$107,0))&amp;"","")</f>
        <v/>
      </c>
      <c r="D101" s="9">
        <f>IFERROR(INDEX('All products'!$D$2:$D$107,MATCH(96,'All products'!$Q$2:$Q$107,0))&amp;"","")</f>
        <v/>
      </c>
      <c r="E101" s="9">
        <f>IFERROR(INDEX('All products'!$E$2:$E$107,MATCH(96,'All products'!$Q$2:$Q$107,0))&amp;"","")</f>
        <v/>
      </c>
      <c r="F101" s="9">
        <f>IFERROR(INDEX('All products'!$F$2:$F$107,MATCH(96,'All products'!$Q$2:$Q$107,0))&amp;"","")</f>
        <v/>
      </c>
      <c r="G101" s="9">
        <f>IFERROR(INDEX('All products'!$G$2:$G$107,MATCH(96,'All products'!$Q$2:$Q$107,0))&amp;"","")</f>
        <v/>
      </c>
      <c r="H101" s="9">
        <f>IFERROR(INDEX('All products'!$H$2:$H$107,MATCH(96,'All products'!$Q$2:$Q$107,0))&amp;"","")</f>
        <v/>
      </c>
      <c r="I101" s="9">
        <f>IFERROR(INDEX('All products'!$I$2:$I$107,MATCH(96,'All products'!$Q$2:$Q$107,0))&amp;"","")</f>
        <v/>
      </c>
      <c r="J101" s="9">
        <f>IFERROR(INDEX('All products'!$J$2:$J$107,MATCH(96,'All products'!$Q$2:$Q$107,0))&amp;"","")</f>
        <v/>
      </c>
      <c r="K101" s="9">
        <f>IFERROR(INDEX('All products'!$K$2:$K$107,MATCH(96,'All products'!$Q$2:$Q$107,0))&amp;"","")</f>
        <v/>
      </c>
      <c r="L101" s="9">
        <f>IFERROR(INDEX('All products'!$L$2:$L$107,MATCH(96,'All products'!$Q$2:$Q$107,0))&amp;"","")</f>
        <v/>
      </c>
      <c r="M101" s="9">
        <f>IFERROR(INDEX('All products'!$M$2:$M$107,MATCH(96,'All products'!$Q$2:$Q$107,0))&amp;"","")</f>
        <v/>
      </c>
      <c r="N101" s="9">
        <f>IFERROR(INDEX('All products'!$N$2:$N$107,MATCH(96,'All products'!$Q$2:$Q$107,0))&amp;"","")</f>
        <v/>
      </c>
      <c r="O101" s="9">
        <f>IFERROR(HYPERLINK(INDEX('All products'!$O$2:$O$107,MATCH(96,'All products'!$Q$2:$Q$107,0))),"")</f>
        <v/>
      </c>
    </row>
    <row r="102" ht="15" customHeight="1" s="10">
      <c r="A102" s="9">
        <f>IFERROR(INDEX('All products'!$A$2:$A$107,MATCH(97,'All products'!$Q$2:$Q$107,0))&amp;"","")</f>
        <v/>
      </c>
      <c r="B102" s="9">
        <f>IFERROR(INDEX('All products'!$B$2:$B$107,MATCH(97,'All products'!$Q$2:$Q$107,0))&amp;"","")</f>
        <v/>
      </c>
      <c r="C102" s="9">
        <f>IFERROR(INDEX('All products'!$C$2:$C$107,MATCH(97,'All products'!$Q$2:$Q$107,0))&amp;"","")</f>
        <v/>
      </c>
      <c r="D102" s="9">
        <f>IFERROR(INDEX('All products'!$D$2:$D$107,MATCH(97,'All products'!$Q$2:$Q$107,0))&amp;"","")</f>
        <v/>
      </c>
      <c r="E102" s="9">
        <f>IFERROR(INDEX('All products'!$E$2:$E$107,MATCH(97,'All products'!$Q$2:$Q$107,0))&amp;"","")</f>
        <v/>
      </c>
      <c r="F102" s="9">
        <f>IFERROR(INDEX('All products'!$F$2:$F$107,MATCH(97,'All products'!$Q$2:$Q$107,0))&amp;"","")</f>
        <v/>
      </c>
      <c r="G102" s="9">
        <f>IFERROR(INDEX('All products'!$G$2:$G$107,MATCH(97,'All products'!$Q$2:$Q$107,0))&amp;"","")</f>
        <v/>
      </c>
      <c r="H102" s="9">
        <f>IFERROR(INDEX('All products'!$H$2:$H$107,MATCH(97,'All products'!$Q$2:$Q$107,0))&amp;"","")</f>
        <v/>
      </c>
      <c r="I102" s="9">
        <f>IFERROR(INDEX('All products'!$I$2:$I$107,MATCH(97,'All products'!$Q$2:$Q$107,0))&amp;"","")</f>
        <v/>
      </c>
      <c r="J102" s="9">
        <f>IFERROR(INDEX('All products'!$J$2:$J$107,MATCH(97,'All products'!$Q$2:$Q$107,0))&amp;"","")</f>
        <v/>
      </c>
      <c r="K102" s="9">
        <f>IFERROR(INDEX('All products'!$K$2:$K$107,MATCH(97,'All products'!$Q$2:$Q$107,0))&amp;"","")</f>
        <v/>
      </c>
      <c r="L102" s="9">
        <f>IFERROR(INDEX('All products'!$L$2:$L$107,MATCH(97,'All products'!$Q$2:$Q$107,0))&amp;"","")</f>
        <v/>
      </c>
      <c r="M102" s="9">
        <f>IFERROR(INDEX('All products'!$M$2:$M$107,MATCH(97,'All products'!$Q$2:$Q$107,0))&amp;"","")</f>
        <v/>
      </c>
      <c r="N102" s="9">
        <f>IFERROR(INDEX('All products'!$N$2:$N$107,MATCH(97,'All products'!$Q$2:$Q$107,0))&amp;"","")</f>
        <v/>
      </c>
      <c r="O102" s="9">
        <f>IFERROR(HYPERLINK(INDEX('All products'!$O$2:$O$107,MATCH(97,'All products'!$Q$2:$Q$107,0))),"")</f>
        <v/>
      </c>
    </row>
    <row r="103" ht="15" customHeight="1" s="10">
      <c r="A103" s="9">
        <f>IFERROR(INDEX('All products'!$A$2:$A$107,MATCH(98,'All products'!$Q$2:$Q$107,0))&amp;"","")</f>
        <v/>
      </c>
      <c r="B103" s="9">
        <f>IFERROR(INDEX('All products'!$B$2:$B$107,MATCH(98,'All products'!$Q$2:$Q$107,0))&amp;"","")</f>
        <v/>
      </c>
      <c r="C103" s="9">
        <f>IFERROR(INDEX('All products'!$C$2:$C$107,MATCH(98,'All products'!$Q$2:$Q$107,0))&amp;"","")</f>
        <v/>
      </c>
      <c r="D103" s="9">
        <f>IFERROR(INDEX('All products'!$D$2:$D$107,MATCH(98,'All products'!$Q$2:$Q$107,0))&amp;"","")</f>
        <v/>
      </c>
      <c r="E103" s="9">
        <f>IFERROR(INDEX('All products'!$E$2:$E$107,MATCH(98,'All products'!$Q$2:$Q$107,0))&amp;"","")</f>
        <v/>
      </c>
      <c r="F103" s="9">
        <f>IFERROR(INDEX('All products'!$F$2:$F$107,MATCH(98,'All products'!$Q$2:$Q$107,0))&amp;"","")</f>
        <v/>
      </c>
      <c r="G103" s="9">
        <f>IFERROR(INDEX('All products'!$G$2:$G$107,MATCH(98,'All products'!$Q$2:$Q$107,0))&amp;"","")</f>
        <v/>
      </c>
      <c r="H103" s="9">
        <f>IFERROR(INDEX('All products'!$H$2:$H$107,MATCH(98,'All products'!$Q$2:$Q$107,0))&amp;"","")</f>
        <v/>
      </c>
      <c r="I103" s="9">
        <f>IFERROR(INDEX('All products'!$I$2:$I$107,MATCH(98,'All products'!$Q$2:$Q$107,0))&amp;"","")</f>
        <v/>
      </c>
      <c r="J103" s="9">
        <f>IFERROR(INDEX('All products'!$J$2:$J$107,MATCH(98,'All products'!$Q$2:$Q$107,0))&amp;"","")</f>
        <v/>
      </c>
      <c r="K103" s="9">
        <f>IFERROR(INDEX('All products'!$K$2:$K$107,MATCH(98,'All products'!$Q$2:$Q$107,0))&amp;"","")</f>
        <v/>
      </c>
      <c r="L103" s="9">
        <f>IFERROR(INDEX('All products'!$L$2:$L$107,MATCH(98,'All products'!$Q$2:$Q$107,0))&amp;"","")</f>
        <v/>
      </c>
      <c r="M103" s="9">
        <f>IFERROR(INDEX('All products'!$M$2:$M$107,MATCH(98,'All products'!$Q$2:$Q$107,0))&amp;"","")</f>
        <v/>
      </c>
      <c r="N103" s="9">
        <f>IFERROR(INDEX('All products'!$N$2:$N$107,MATCH(98,'All products'!$Q$2:$Q$107,0))&amp;"","")</f>
        <v/>
      </c>
      <c r="O103" s="9">
        <f>IFERROR(HYPERLINK(INDEX('All products'!$O$2:$O$107,MATCH(98,'All products'!$Q$2:$Q$107,0))),"")</f>
        <v/>
      </c>
    </row>
    <row r="104" ht="15" customHeight="1" s="10">
      <c r="A104" s="9">
        <f>IFERROR(INDEX('All products'!$A$2:$A$107,MATCH(99,'All products'!$Q$2:$Q$107,0))&amp;"","")</f>
        <v/>
      </c>
      <c r="B104" s="9">
        <f>IFERROR(INDEX('All products'!$B$2:$B$107,MATCH(99,'All products'!$Q$2:$Q$107,0))&amp;"","")</f>
        <v/>
      </c>
      <c r="C104" s="9">
        <f>IFERROR(INDEX('All products'!$C$2:$C$107,MATCH(99,'All products'!$Q$2:$Q$107,0))&amp;"","")</f>
        <v/>
      </c>
      <c r="D104" s="9">
        <f>IFERROR(INDEX('All products'!$D$2:$D$107,MATCH(99,'All products'!$Q$2:$Q$107,0))&amp;"","")</f>
        <v/>
      </c>
      <c r="E104" s="9">
        <f>IFERROR(INDEX('All products'!$E$2:$E$107,MATCH(99,'All products'!$Q$2:$Q$107,0))&amp;"","")</f>
        <v/>
      </c>
      <c r="F104" s="9">
        <f>IFERROR(INDEX('All products'!$F$2:$F$107,MATCH(99,'All products'!$Q$2:$Q$107,0))&amp;"","")</f>
        <v/>
      </c>
      <c r="G104" s="9">
        <f>IFERROR(INDEX('All products'!$G$2:$G$107,MATCH(99,'All products'!$Q$2:$Q$107,0))&amp;"","")</f>
        <v/>
      </c>
      <c r="H104" s="9">
        <f>IFERROR(INDEX('All products'!$H$2:$H$107,MATCH(99,'All products'!$Q$2:$Q$107,0))&amp;"","")</f>
        <v/>
      </c>
      <c r="I104" s="9">
        <f>IFERROR(INDEX('All products'!$I$2:$I$107,MATCH(99,'All products'!$Q$2:$Q$107,0))&amp;"","")</f>
        <v/>
      </c>
      <c r="J104" s="9">
        <f>IFERROR(INDEX('All products'!$J$2:$J$107,MATCH(99,'All products'!$Q$2:$Q$107,0))&amp;"","")</f>
        <v/>
      </c>
      <c r="K104" s="9">
        <f>IFERROR(INDEX('All products'!$K$2:$K$107,MATCH(99,'All products'!$Q$2:$Q$107,0))&amp;"","")</f>
        <v/>
      </c>
      <c r="L104" s="9">
        <f>IFERROR(INDEX('All products'!$L$2:$L$107,MATCH(99,'All products'!$Q$2:$Q$107,0))&amp;"","")</f>
        <v/>
      </c>
      <c r="M104" s="9">
        <f>IFERROR(INDEX('All products'!$M$2:$M$107,MATCH(99,'All products'!$Q$2:$Q$107,0))&amp;"","")</f>
        <v/>
      </c>
      <c r="N104" s="9">
        <f>IFERROR(INDEX('All products'!$N$2:$N$107,MATCH(99,'All products'!$Q$2:$Q$107,0))&amp;"","")</f>
        <v/>
      </c>
      <c r="O104" s="9">
        <f>IFERROR(HYPERLINK(INDEX('All products'!$O$2:$O$107,MATCH(99,'All products'!$Q$2:$Q$107,0))),"")</f>
        <v/>
      </c>
    </row>
    <row r="105" ht="15" customHeight="1" s="10">
      <c r="A105" s="9">
        <f>IFERROR(INDEX('All products'!$A$2:$A$107,MATCH(100,'All products'!$Q$2:$Q$107,0))&amp;"","")</f>
        <v/>
      </c>
      <c r="B105" s="9">
        <f>IFERROR(INDEX('All products'!$B$2:$B$107,MATCH(100,'All products'!$Q$2:$Q$107,0))&amp;"","")</f>
        <v/>
      </c>
      <c r="C105" s="9">
        <f>IFERROR(INDEX('All products'!$C$2:$C$107,MATCH(100,'All products'!$Q$2:$Q$107,0))&amp;"","")</f>
        <v/>
      </c>
      <c r="D105" s="9">
        <f>IFERROR(INDEX('All products'!$D$2:$D$107,MATCH(100,'All products'!$Q$2:$Q$107,0))&amp;"","")</f>
        <v/>
      </c>
      <c r="E105" s="9">
        <f>IFERROR(INDEX('All products'!$E$2:$E$107,MATCH(100,'All products'!$Q$2:$Q$107,0))&amp;"","")</f>
        <v/>
      </c>
      <c r="F105" s="9">
        <f>IFERROR(INDEX('All products'!$F$2:$F$107,MATCH(100,'All products'!$Q$2:$Q$107,0))&amp;"","")</f>
        <v/>
      </c>
      <c r="G105" s="9">
        <f>IFERROR(INDEX('All products'!$G$2:$G$107,MATCH(100,'All products'!$Q$2:$Q$107,0))&amp;"","")</f>
        <v/>
      </c>
      <c r="H105" s="9">
        <f>IFERROR(INDEX('All products'!$H$2:$H$107,MATCH(100,'All products'!$Q$2:$Q$107,0))&amp;"","")</f>
        <v/>
      </c>
      <c r="I105" s="9">
        <f>IFERROR(INDEX('All products'!$I$2:$I$107,MATCH(100,'All products'!$Q$2:$Q$107,0))&amp;"","")</f>
        <v/>
      </c>
      <c r="J105" s="9">
        <f>IFERROR(INDEX('All products'!$J$2:$J$107,MATCH(100,'All products'!$Q$2:$Q$107,0))&amp;"","")</f>
        <v/>
      </c>
      <c r="K105" s="9">
        <f>IFERROR(INDEX('All products'!$K$2:$K$107,MATCH(100,'All products'!$Q$2:$Q$107,0))&amp;"","")</f>
        <v/>
      </c>
      <c r="L105" s="9">
        <f>IFERROR(INDEX('All products'!$L$2:$L$107,MATCH(100,'All products'!$Q$2:$Q$107,0))&amp;"","")</f>
        <v/>
      </c>
      <c r="M105" s="9">
        <f>IFERROR(INDEX('All products'!$M$2:$M$107,MATCH(100,'All products'!$Q$2:$Q$107,0))&amp;"","")</f>
        <v/>
      </c>
      <c r="N105" s="9">
        <f>IFERROR(INDEX('All products'!$N$2:$N$107,MATCH(100,'All products'!$Q$2:$Q$107,0))&amp;"","")</f>
        <v/>
      </c>
      <c r="O105" s="9">
        <f>IFERROR(HYPERLINK(INDEX('All products'!$O$2:$O$107,MATCH(100,'All products'!$Q$2:$Q$107,0))),"")</f>
        <v/>
      </c>
    </row>
    <row r="106" ht="15" customHeight="1" s="10">
      <c r="A106" s="9">
        <f>IFERROR(INDEX('All products'!$A$2:$A$107,MATCH(101,'All products'!$Q$2:$Q$107,0))&amp;"","")</f>
        <v/>
      </c>
      <c r="B106" s="9">
        <f>IFERROR(INDEX('All products'!$B$2:$B$107,MATCH(101,'All products'!$Q$2:$Q$107,0))&amp;"","")</f>
        <v/>
      </c>
      <c r="C106" s="9">
        <f>IFERROR(INDEX('All products'!$C$2:$C$107,MATCH(101,'All products'!$Q$2:$Q$107,0))&amp;"","")</f>
        <v/>
      </c>
      <c r="D106" s="9">
        <f>IFERROR(INDEX('All products'!$D$2:$D$107,MATCH(101,'All products'!$Q$2:$Q$107,0))&amp;"","")</f>
        <v/>
      </c>
      <c r="E106" s="9">
        <f>IFERROR(INDEX('All products'!$E$2:$E$107,MATCH(101,'All products'!$Q$2:$Q$107,0))&amp;"","")</f>
        <v/>
      </c>
      <c r="F106" s="9">
        <f>IFERROR(INDEX('All products'!$F$2:$F$107,MATCH(101,'All products'!$Q$2:$Q$107,0))&amp;"","")</f>
        <v/>
      </c>
      <c r="G106" s="9">
        <f>IFERROR(INDEX('All products'!$G$2:$G$107,MATCH(101,'All products'!$Q$2:$Q$107,0))&amp;"","")</f>
        <v/>
      </c>
      <c r="H106" s="9">
        <f>IFERROR(INDEX('All products'!$H$2:$H$107,MATCH(101,'All products'!$Q$2:$Q$107,0))&amp;"","")</f>
        <v/>
      </c>
      <c r="I106" s="9">
        <f>IFERROR(INDEX('All products'!$I$2:$I$107,MATCH(101,'All products'!$Q$2:$Q$107,0))&amp;"","")</f>
        <v/>
      </c>
      <c r="J106" s="9">
        <f>IFERROR(INDEX('All products'!$J$2:$J$107,MATCH(101,'All products'!$Q$2:$Q$107,0))&amp;"","")</f>
        <v/>
      </c>
      <c r="K106" s="9">
        <f>IFERROR(INDEX('All products'!$K$2:$K$107,MATCH(101,'All products'!$Q$2:$Q$107,0))&amp;"","")</f>
        <v/>
      </c>
      <c r="L106" s="9">
        <f>IFERROR(INDEX('All products'!$L$2:$L$107,MATCH(101,'All products'!$Q$2:$Q$107,0))&amp;"","")</f>
        <v/>
      </c>
      <c r="M106" s="9">
        <f>IFERROR(INDEX('All products'!$M$2:$M$107,MATCH(101,'All products'!$Q$2:$Q$107,0))&amp;"","")</f>
        <v/>
      </c>
      <c r="N106" s="9">
        <f>IFERROR(INDEX('All products'!$N$2:$N$107,MATCH(101,'All products'!$Q$2:$Q$107,0))&amp;"","")</f>
        <v/>
      </c>
      <c r="O106" s="9">
        <f>IFERROR(HYPERLINK(INDEX('All products'!$O$2:$O$107,MATCH(101,'All products'!$Q$2:$Q$107,0))),"")</f>
        <v/>
      </c>
    </row>
    <row r="107" ht="15" customHeight="1" s="10">
      <c r="A107" s="9">
        <f>IFERROR(INDEX('All products'!$A$2:$A$107,MATCH(102,'All products'!$Q$2:$Q$107,0))&amp;"","")</f>
        <v/>
      </c>
      <c r="B107" s="9">
        <f>IFERROR(INDEX('All products'!$B$2:$B$107,MATCH(102,'All products'!$Q$2:$Q$107,0))&amp;"","")</f>
        <v/>
      </c>
      <c r="C107" s="9">
        <f>IFERROR(INDEX('All products'!$C$2:$C$107,MATCH(102,'All products'!$Q$2:$Q$107,0))&amp;"","")</f>
        <v/>
      </c>
      <c r="D107" s="9">
        <f>IFERROR(INDEX('All products'!$D$2:$D$107,MATCH(102,'All products'!$Q$2:$Q$107,0))&amp;"","")</f>
        <v/>
      </c>
      <c r="E107" s="9">
        <f>IFERROR(INDEX('All products'!$E$2:$E$107,MATCH(102,'All products'!$Q$2:$Q$107,0))&amp;"","")</f>
        <v/>
      </c>
      <c r="F107" s="9">
        <f>IFERROR(INDEX('All products'!$F$2:$F$107,MATCH(102,'All products'!$Q$2:$Q$107,0))&amp;"","")</f>
        <v/>
      </c>
      <c r="G107" s="9">
        <f>IFERROR(INDEX('All products'!$G$2:$G$107,MATCH(102,'All products'!$Q$2:$Q$107,0))&amp;"","")</f>
        <v/>
      </c>
      <c r="H107" s="9">
        <f>IFERROR(INDEX('All products'!$H$2:$H$107,MATCH(102,'All products'!$Q$2:$Q$107,0))&amp;"","")</f>
        <v/>
      </c>
      <c r="I107" s="9">
        <f>IFERROR(INDEX('All products'!$I$2:$I$107,MATCH(102,'All products'!$Q$2:$Q$107,0))&amp;"","")</f>
        <v/>
      </c>
      <c r="J107" s="9">
        <f>IFERROR(INDEX('All products'!$J$2:$J$107,MATCH(102,'All products'!$Q$2:$Q$107,0))&amp;"","")</f>
        <v/>
      </c>
      <c r="K107" s="9">
        <f>IFERROR(INDEX('All products'!$K$2:$K$107,MATCH(102,'All products'!$Q$2:$Q$107,0))&amp;"","")</f>
        <v/>
      </c>
      <c r="L107" s="9">
        <f>IFERROR(INDEX('All products'!$L$2:$L$107,MATCH(102,'All products'!$Q$2:$Q$107,0))&amp;"","")</f>
        <v/>
      </c>
      <c r="M107" s="9">
        <f>IFERROR(INDEX('All products'!$M$2:$M$107,MATCH(102,'All products'!$Q$2:$Q$107,0))&amp;"","")</f>
        <v/>
      </c>
      <c r="N107" s="9">
        <f>IFERROR(INDEX('All products'!$N$2:$N$107,MATCH(102,'All products'!$Q$2:$Q$107,0))&amp;"","")</f>
        <v/>
      </c>
      <c r="O107" s="9">
        <f>IFERROR(HYPERLINK(INDEX('All products'!$O$2:$O$107,MATCH(102,'All products'!$Q$2:$Q$107,0))),"")</f>
        <v/>
      </c>
    </row>
    <row r="108" ht="15" customHeight="1" s="10">
      <c r="A108" s="9">
        <f>IFERROR(INDEX('All products'!$A$2:$A$107,MATCH(103,'All products'!$Q$2:$Q$107,0))&amp;"","")</f>
        <v/>
      </c>
      <c r="B108" s="9">
        <f>IFERROR(INDEX('All products'!$B$2:$B$107,MATCH(103,'All products'!$Q$2:$Q$107,0))&amp;"","")</f>
        <v/>
      </c>
      <c r="C108" s="9">
        <f>IFERROR(INDEX('All products'!$C$2:$C$107,MATCH(103,'All products'!$Q$2:$Q$107,0))&amp;"","")</f>
        <v/>
      </c>
      <c r="D108" s="9">
        <f>IFERROR(INDEX('All products'!$D$2:$D$107,MATCH(103,'All products'!$Q$2:$Q$107,0))&amp;"","")</f>
        <v/>
      </c>
      <c r="E108" s="9">
        <f>IFERROR(INDEX('All products'!$E$2:$E$107,MATCH(103,'All products'!$Q$2:$Q$107,0))&amp;"","")</f>
        <v/>
      </c>
      <c r="F108" s="9">
        <f>IFERROR(INDEX('All products'!$F$2:$F$107,MATCH(103,'All products'!$Q$2:$Q$107,0))&amp;"","")</f>
        <v/>
      </c>
      <c r="G108" s="9">
        <f>IFERROR(INDEX('All products'!$G$2:$G$107,MATCH(103,'All products'!$Q$2:$Q$107,0))&amp;"","")</f>
        <v/>
      </c>
      <c r="H108" s="9">
        <f>IFERROR(INDEX('All products'!$H$2:$H$107,MATCH(103,'All products'!$Q$2:$Q$107,0))&amp;"","")</f>
        <v/>
      </c>
      <c r="I108" s="9">
        <f>IFERROR(INDEX('All products'!$I$2:$I$107,MATCH(103,'All products'!$Q$2:$Q$107,0))&amp;"","")</f>
        <v/>
      </c>
      <c r="J108" s="9">
        <f>IFERROR(INDEX('All products'!$J$2:$J$107,MATCH(103,'All products'!$Q$2:$Q$107,0))&amp;"","")</f>
        <v/>
      </c>
      <c r="K108" s="9">
        <f>IFERROR(INDEX('All products'!$K$2:$K$107,MATCH(103,'All products'!$Q$2:$Q$107,0))&amp;"","")</f>
        <v/>
      </c>
      <c r="L108" s="9">
        <f>IFERROR(INDEX('All products'!$L$2:$L$107,MATCH(103,'All products'!$Q$2:$Q$107,0))&amp;"","")</f>
        <v/>
      </c>
      <c r="M108" s="9">
        <f>IFERROR(INDEX('All products'!$M$2:$M$107,MATCH(103,'All products'!$Q$2:$Q$107,0))&amp;"","")</f>
        <v/>
      </c>
      <c r="N108" s="9">
        <f>IFERROR(INDEX('All products'!$N$2:$N$107,MATCH(103,'All products'!$Q$2:$Q$107,0))&amp;"","")</f>
        <v/>
      </c>
      <c r="O108" s="9">
        <f>IFERROR(HYPERLINK(INDEX('All products'!$O$2:$O$107,MATCH(103,'All products'!$Q$2:$Q$107,0))),"")</f>
        <v/>
      </c>
    </row>
    <row r="109" ht="15" customHeight="1" s="10">
      <c r="A109" s="9">
        <f>IFERROR(INDEX('All products'!$A$2:$A$107,MATCH(104,'All products'!$Q$2:$Q$107,0))&amp;"","")</f>
        <v/>
      </c>
      <c r="B109" s="9">
        <f>IFERROR(INDEX('All products'!$B$2:$B$107,MATCH(104,'All products'!$Q$2:$Q$107,0))&amp;"","")</f>
        <v/>
      </c>
      <c r="C109" s="9">
        <f>IFERROR(INDEX('All products'!$C$2:$C$107,MATCH(104,'All products'!$Q$2:$Q$107,0))&amp;"","")</f>
        <v/>
      </c>
      <c r="D109" s="9">
        <f>IFERROR(INDEX('All products'!$D$2:$D$107,MATCH(104,'All products'!$Q$2:$Q$107,0))&amp;"","")</f>
        <v/>
      </c>
      <c r="E109" s="9">
        <f>IFERROR(INDEX('All products'!$E$2:$E$107,MATCH(104,'All products'!$Q$2:$Q$107,0))&amp;"","")</f>
        <v/>
      </c>
      <c r="F109" s="9">
        <f>IFERROR(INDEX('All products'!$F$2:$F$107,MATCH(104,'All products'!$Q$2:$Q$107,0))&amp;"","")</f>
        <v/>
      </c>
      <c r="G109" s="9">
        <f>IFERROR(INDEX('All products'!$G$2:$G$107,MATCH(104,'All products'!$Q$2:$Q$107,0))&amp;"","")</f>
        <v/>
      </c>
      <c r="H109" s="9">
        <f>IFERROR(INDEX('All products'!$H$2:$H$107,MATCH(104,'All products'!$Q$2:$Q$107,0))&amp;"","")</f>
        <v/>
      </c>
      <c r="I109" s="9">
        <f>IFERROR(INDEX('All products'!$I$2:$I$107,MATCH(104,'All products'!$Q$2:$Q$107,0))&amp;"","")</f>
        <v/>
      </c>
      <c r="J109" s="9">
        <f>IFERROR(INDEX('All products'!$J$2:$J$107,MATCH(104,'All products'!$Q$2:$Q$107,0))&amp;"","")</f>
        <v/>
      </c>
      <c r="K109" s="9">
        <f>IFERROR(INDEX('All products'!$K$2:$K$107,MATCH(104,'All products'!$Q$2:$Q$107,0))&amp;"","")</f>
        <v/>
      </c>
      <c r="L109" s="9">
        <f>IFERROR(INDEX('All products'!$L$2:$L$107,MATCH(104,'All products'!$Q$2:$Q$107,0))&amp;"","")</f>
        <v/>
      </c>
      <c r="M109" s="9">
        <f>IFERROR(INDEX('All products'!$M$2:$M$107,MATCH(104,'All products'!$Q$2:$Q$107,0))&amp;"","")</f>
        <v/>
      </c>
      <c r="N109" s="9">
        <f>IFERROR(INDEX('All products'!$N$2:$N$107,MATCH(104,'All products'!$Q$2:$Q$107,0))&amp;"","")</f>
        <v/>
      </c>
      <c r="O109" s="9">
        <f>IFERROR(HYPERLINK(INDEX('All products'!$O$2:$O$107,MATCH(104,'All products'!$Q$2:$Q$107,0))),"")</f>
        <v/>
      </c>
    </row>
    <row r="110" ht="15" customHeight="1" s="10">
      <c r="A110" s="9">
        <f>IFERROR(INDEX('All products'!$A$2:$A$107,MATCH(105,'All products'!$Q$2:$Q$107,0))&amp;"","")</f>
        <v/>
      </c>
      <c r="B110" s="9">
        <f>IFERROR(INDEX('All products'!$B$2:$B$107,MATCH(105,'All products'!$Q$2:$Q$107,0))&amp;"","")</f>
        <v/>
      </c>
      <c r="C110" s="9">
        <f>IFERROR(INDEX('All products'!$C$2:$C$107,MATCH(105,'All products'!$Q$2:$Q$107,0))&amp;"","")</f>
        <v/>
      </c>
      <c r="D110" s="9">
        <f>IFERROR(INDEX('All products'!$D$2:$D$107,MATCH(105,'All products'!$Q$2:$Q$107,0))&amp;"","")</f>
        <v/>
      </c>
      <c r="E110" s="9">
        <f>IFERROR(INDEX('All products'!$E$2:$E$107,MATCH(105,'All products'!$Q$2:$Q$107,0))&amp;"","")</f>
        <v/>
      </c>
      <c r="F110" s="9">
        <f>IFERROR(INDEX('All products'!$F$2:$F$107,MATCH(105,'All products'!$Q$2:$Q$107,0))&amp;"","")</f>
        <v/>
      </c>
      <c r="G110" s="9">
        <f>IFERROR(INDEX('All products'!$G$2:$G$107,MATCH(105,'All products'!$Q$2:$Q$107,0))&amp;"","")</f>
        <v/>
      </c>
      <c r="H110" s="9">
        <f>IFERROR(INDEX('All products'!$H$2:$H$107,MATCH(105,'All products'!$Q$2:$Q$107,0))&amp;"","")</f>
        <v/>
      </c>
      <c r="I110" s="9">
        <f>IFERROR(INDEX('All products'!$I$2:$I$107,MATCH(105,'All products'!$Q$2:$Q$107,0))&amp;"","")</f>
        <v/>
      </c>
      <c r="J110" s="9">
        <f>IFERROR(INDEX('All products'!$J$2:$J$107,MATCH(105,'All products'!$Q$2:$Q$107,0))&amp;"","")</f>
        <v/>
      </c>
      <c r="K110" s="9">
        <f>IFERROR(INDEX('All products'!$K$2:$K$107,MATCH(105,'All products'!$Q$2:$Q$107,0))&amp;"","")</f>
        <v/>
      </c>
      <c r="L110" s="9">
        <f>IFERROR(INDEX('All products'!$L$2:$L$107,MATCH(105,'All products'!$Q$2:$Q$107,0))&amp;"","")</f>
        <v/>
      </c>
      <c r="M110" s="9">
        <f>IFERROR(INDEX('All products'!$M$2:$M$107,MATCH(105,'All products'!$Q$2:$Q$107,0))&amp;"","")</f>
        <v/>
      </c>
      <c r="N110" s="9">
        <f>IFERROR(INDEX('All products'!$N$2:$N$107,MATCH(105,'All products'!$Q$2:$Q$107,0))&amp;"","")</f>
        <v/>
      </c>
      <c r="O110" s="9">
        <f>IFERROR(HYPERLINK(INDEX('All products'!$O$2:$O$107,MATCH(105,'All products'!$Q$2:$Q$107,0))),"")</f>
        <v/>
      </c>
    </row>
    <row r="111" ht="15" customHeight="1" s="10">
      <c r="A111" s="9">
        <f>IFERROR(INDEX('All products'!$A$2:$A$107,MATCH(106,'All products'!$Q$2:$Q$107,0))&amp;"","")</f>
        <v/>
      </c>
      <c r="B111" s="9">
        <f>IFERROR(INDEX('All products'!$B$2:$B$107,MATCH(106,'All products'!$Q$2:$Q$107,0))&amp;"","")</f>
        <v/>
      </c>
      <c r="C111" s="9">
        <f>IFERROR(INDEX('All products'!$C$2:$C$107,MATCH(106,'All products'!$Q$2:$Q$107,0))&amp;"","")</f>
        <v/>
      </c>
      <c r="D111" s="9">
        <f>IFERROR(INDEX('All products'!$D$2:$D$107,MATCH(106,'All products'!$Q$2:$Q$107,0))&amp;"","")</f>
        <v/>
      </c>
      <c r="E111" s="9">
        <f>IFERROR(INDEX('All products'!$E$2:$E$107,MATCH(106,'All products'!$Q$2:$Q$107,0))&amp;"","")</f>
        <v/>
      </c>
      <c r="F111" s="9">
        <f>IFERROR(INDEX('All products'!$F$2:$F$107,MATCH(106,'All products'!$Q$2:$Q$107,0))&amp;"","")</f>
        <v/>
      </c>
      <c r="G111" s="9">
        <f>IFERROR(INDEX('All products'!$G$2:$G$107,MATCH(106,'All products'!$Q$2:$Q$107,0))&amp;"","")</f>
        <v/>
      </c>
      <c r="H111" s="9">
        <f>IFERROR(INDEX('All products'!$H$2:$H$107,MATCH(106,'All products'!$Q$2:$Q$107,0))&amp;"","")</f>
        <v/>
      </c>
      <c r="I111" s="9">
        <f>IFERROR(INDEX('All products'!$I$2:$I$107,MATCH(106,'All products'!$Q$2:$Q$107,0))&amp;"","")</f>
        <v/>
      </c>
      <c r="J111" s="9">
        <f>IFERROR(INDEX('All products'!$J$2:$J$107,MATCH(106,'All products'!$Q$2:$Q$107,0))&amp;"","")</f>
        <v/>
      </c>
      <c r="K111" s="9">
        <f>IFERROR(INDEX('All products'!$K$2:$K$107,MATCH(106,'All products'!$Q$2:$Q$107,0))&amp;"","")</f>
        <v/>
      </c>
      <c r="L111" s="9">
        <f>IFERROR(INDEX('All products'!$L$2:$L$107,MATCH(106,'All products'!$Q$2:$Q$107,0))&amp;"","")</f>
        <v/>
      </c>
      <c r="M111" s="9">
        <f>IFERROR(INDEX('All products'!$M$2:$M$107,MATCH(106,'All products'!$Q$2:$Q$107,0))&amp;"","")</f>
        <v/>
      </c>
      <c r="N111" s="9">
        <f>IFERROR(INDEX('All products'!$N$2:$N$107,MATCH(106,'All products'!$Q$2:$Q$107,0))&amp;"","")</f>
        <v/>
      </c>
      <c r="O111" s="9">
        <f>IFERROR(HYPERLINK(INDEX('All products'!$O$2:$O$107,MATCH(106,'All products'!$Q$2:$Q$107,0))),"")</f>
        <v/>
      </c>
    </row>
    <row r="112" ht="15" customHeight="1" s="10">
      <c r="A112" s="9">
        <f>IFERROR(INDEX('All products'!$A$2:$A$107,MATCH(107,'All products'!$Q$2:$Q$107,0))&amp;"","")</f>
        <v/>
      </c>
      <c r="B112" s="9">
        <f>IFERROR(INDEX('All products'!$B$2:$B$107,MATCH(107,'All products'!$Q$2:$Q$107,0))&amp;"","")</f>
        <v/>
      </c>
      <c r="C112" s="9">
        <f>IFERROR(INDEX('All products'!$C$2:$C$107,MATCH(107,'All products'!$Q$2:$Q$107,0))&amp;"","")</f>
        <v/>
      </c>
      <c r="D112" s="9">
        <f>IFERROR(INDEX('All products'!$D$2:$D$107,MATCH(107,'All products'!$Q$2:$Q$107,0))&amp;"","")</f>
        <v/>
      </c>
      <c r="E112" s="9">
        <f>IFERROR(INDEX('All products'!$E$2:$E$107,MATCH(107,'All products'!$Q$2:$Q$107,0))&amp;"","")</f>
        <v/>
      </c>
      <c r="F112" s="9">
        <f>IFERROR(INDEX('All products'!$F$2:$F$107,MATCH(107,'All products'!$Q$2:$Q$107,0))&amp;"","")</f>
        <v/>
      </c>
      <c r="G112" s="9">
        <f>IFERROR(INDEX('All products'!$G$2:$G$107,MATCH(107,'All products'!$Q$2:$Q$107,0))&amp;"","")</f>
        <v/>
      </c>
      <c r="H112" s="9">
        <f>IFERROR(INDEX('All products'!$H$2:$H$107,MATCH(107,'All products'!$Q$2:$Q$107,0))&amp;"","")</f>
        <v/>
      </c>
      <c r="I112" s="9">
        <f>IFERROR(INDEX('All products'!$I$2:$I$107,MATCH(107,'All products'!$Q$2:$Q$107,0))&amp;"","")</f>
        <v/>
      </c>
      <c r="J112" s="9">
        <f>IFERROR(INDEX('All products'!$J$2:$J$107,MATCH(107,'All products'!$Q$2:$Q$107,0))&amp;"","")</f>
        <v/>
      </c>
      <c r="K112" s="9">
        <f>IFERROR(INDEX('All products'!$K$2:$K$107,MATCH(107,'All products'!$Q$2:$Q$107,0))&amp;"","")</f>
        <v/>
      </c>
      <c r="L112" s="9">
        <f>IFERROR(INDEX('All products'!$L$2:$L$107,MATCH(107,'All products'!$Q$2:$Q$107,0))&amp;"","")</f>
        <v/>
      </c>
      <c r="M112" s="9">
        <f>IFERROR(INDEX('All products'!$M$2:$M$107,MATCH(107,'All products'!$Q$2:$Q$107,0))&amp;"","")</f>
        <v/>
      </c>
      <c r="N112" s="9">
        <f>IFERROR(INDEX('All products'!$N$2:$N$107,MATCH(107,'All products'!$Q$2:$Q$107,0))&amp;"","")</f>
        <v/>
      </c>
      <c r="O112" s="9">
        <f>IFERROR(HYPERLINK(INDEX('All products'!$O$2:$O$107,MATCH(107,'All products'!$Q$2:$Q$107,0))),"")</f>
        <v/>
      </c>
    </row>
    <row r="113" ht="15" customHeight="1" s="10">
      <c r="A113" s="9">
        <f>IFERROR(INDEX('All products'!$A$2:$A$107,MATCH(108,'All products'!$Q$2:$Q$107,0))&amp;"","")</f>
        <v/>
      </c>
      <c r="B113" s="9">
        <f>IFERROR(INDEX('All products'!$B$2:$B$107,MATCH(108,'All products'!$Q$2:$Q$107,0))&amp;"","")</f>
        <v/>
      </c>
      <c r="C113" s="9">
        <f>IFERROR(INDEX('All products'!$C$2:$C$107,MATCH(108,'All products'!$Q$2:$Q$107,0))&amp;"","")</f>
        <v/>
      </c>
      <c r="D113" s="9">
        <f>IFERROR(INDEX('All products'!$D$2:$D$107,MATCH(108,'All products'!$Q$2:$Q$107,0))&amp;"","")</f>
        <v/>
      </c>
      <c r="E113" s="9">
        <f>IFERROR(INDEX('All products'!$E$2:$E$107,MATCH(108,'All products'!$Q$2:$Q$107,0))&amp;"","")</f>
        <v/>
      </c>
      <c r="F113" s="9">
        <f>IFERROR(INDEX('All products'!$F$2:$F$107,MATCH(108,'All products'!$Q$2:$Q$107,0))&amp;"","")</f>
        <v/>
      </c>
      <c r="G113" s="9">
        <f>IFERROR(INDEX('All products'!$G$2:$G$107,MATCH(108,'All products'!$Q$2:$Q$107,0))&amp;"","")</f>
        <v/>
      </c>
      <c r="H113" s="9">
        <f>IFERROR(INDEX('All products'!$H$2:$H$107,MATCH(108,'All products'!$Q$2:$Q$107,0))&amp;"","")</f>
        <v/>
      </c>
      <c r="I113" s="9">
        <f>IFERROR(INDEX('All products'!$I$2:$I$107,MATCH(108,'All products'!$Q$2:$Q$107,0))&amp;"","")</f>
        <v/>
      </c>
      <c r="J113" s="9">
        <f>IFERROR(INDEX('All products'!$J$2:$J$107,MATCH(108,'All products'!$Q$2:$Q$107,0))&amp;"","")</f>
        <v/>
      </c>
      <c r="K113" s="9">
        <f>IFERROR(INDEX('All products'!$K$2:$K$107,MATCH(108,'All products'!$Q$2:$Q$107,0))&amp;"","")</f>
        <v/>
      </c>
      <c r="L113" s="9">
        <f>IFERROR(INDEX('All products'!$L$2:$L$107,MATCH(108,'All products'!$Q$2:$Q$107,0))&amp;"","")</f>
        <v/>
      </c>
      <c r="M113" s="9">
        <f>IFERROR(INDEX('All products'!$M$2:$M$107,MATCH(108,'All products'!$Q$2:$Q$107,0))&amp;"","")</f>
        <v/>
      </c>
      <c r="N113" s="9">
        <f>IFERROR(INDEX('All products'!$N$2:$N$107,MATCH(108,'All products'!$Q$2:$Q$107,0))&amp;"","")</f>
        <v/>
      </c>
      <c r="O113" s="9">
        <f>IFERROR(HYPERLINK(INDEX('All products'!$O$2:$O$107,MATCH(108,'All products'!$Q$2:$Q$107,0))),"")</f>
        <v/>
      </c>
    </row>
    <row r="114" ht="15" customHeight="1" s="10">
      <c r="A114" s="9">
        <f>IFERROR(INDEX('All products'!$A$2:$A$107,MATCH(109,'All products'!$Q$2:$Q$107,0))&amp;"","")</f>
        <v/>
      </c>
      <c r="B114" s="9">
        <f>IFERROR(INDEX('All products'!$B$2:$B$107,MATCH(109,'All products'!$Q$2:$Q$107,0))&amp;"","")</f>
        <v/>
      </c>
      <c r="C114" s="9">
        <f>IFERROR(INDEX('All products'!$C$2:$C$107,MATCH(109,'All products'!$Q$2:$Q$107,0))&amp;"","")</f>
        <v/>
      </c>
      <c r="D114" s="9">
        <f>IFERROR(INDEX('All products'!$D$2:$D$107,MATCH(109,'All products'!$Q$2:$Q$107,0))&amp;"","")</f>
        <v/>
      </c>
      <c r="E114" s="9">
        <f>IFERROR(INDEX('All products'!$E$2:$E$107,MATCH(109,'All products'!$Q$2:$Q$107,0))&amp;"","")</f>
        <v/>
      </c>
      <c r="F114" s="9">
        <f>IFERROR(INDEX('All products'!$F$2:$F$107,MATCH(109,'All products'!$Q$2:$Q$107,0))&amp;"","")</f>
        <v/>
      </c>
      <c r="G114" s="9">
        <f>IFERROR(INDEX('All products'!$G$2:$G$107,MATCH(109,'All products'!$Q$2:$Q$107,0))&amp;"","")</f>
        <v/>
      </c>
      <c r="H114" s="9">
        <f>IFERROR(INDEX('All products'!$H$2:$H$107,MATCH(109,'All products'!$Q$2:$Q$107,0))&amp;"","")</f>
        <v/>
      </c>
      <c r="I114" s="9">
        <f>IFERROR(INDEX('All products'!$I$2:$I$107,MATCH(109,'All products'!$Q$2:$Q$107,0))&amp;"","")</f>
        <v/>
      </c>
      <c r="J114" s="9">
        <f>IFERROR(INDEX('All products'!$J$2:$J$107,MATCH(109,'All products'!$Q$2:$Q$107,0))&amp;"","")</f>
        <v/>
      </c>
      <c r="K114" s="9">
        <f>IFERROR(INDEX('All products'!$K$2:$K$107,MATCH(109,'All products'!$Q$2:$Q$107,0))&amp;"","")</f>
        <v/>
      </c>
      <c r="L114" s="9">
        <f>IFERROR(INDEX('All products'!$L$2:$L$107,MATCH(109,'All products'!$Q$2:$Q$107,0))&amp;"","")</f>
        <v/>
      </c>
      <c r="M114" s="9">
        <f>IFERROR(INDEX('All products'!$M$2:$M$107,MATCH(109,'All products'!$Q$2:$Q$107,0))&amp;"","")</f>
        <v/>
      </c>
      <c r="N114" s="9">
        <f>IFERROR(INDEX('All products'!$N$2:$N$107,MATCH(109,'All products'!$Q$2:$Q$107,0))&amp;"","")</f>
        <v/>
      </c>
      <c r="O114" s="9">
        <f>IFERROR(HYPERLINK(INDEX('All products'!$O$2:$O$107,MATCH(109,'All products'!$Q$2:$Q$107,0))),"")</f>
        <v/>
      </c>
    </row>
    <row r="115" ht="15" customHeight="1" s="10">
      <c r="A115" s="9">
        <f>IFERROR(INDEX('All products'!$A$2:$A$107,MATCH(110,'All products'!$Q$2:$Q$107,0))&amp;"","")</f>
        <v/>
      </c>
      <c r="B115" s="9">
        <f>IFERROR(INDEX('All products'!$B$2:$B$107,MATCH(110,'All products'!$Q$2:$Q$107,0))&amp;"","")</f>
        <v/>
      </c>
      <c r="C115" s="9">
        <f>IFERROR(INDEX('All products'!$C$2:$C$107,MATCH(110,'All products'!$Q$2:$Q$107,0))&amp;"","")</f>
        <v/>
      </c>
      <c r="D115" s="9">
        <f>IFERROR(INDEX('All products'!$D$2:$D$107,MATCH(110,'All products'!$Q$2:$Q$107,0))&amp;"","")</f>
        <v/>
      </c>
      <c r="E115" s="9">
        <f>IFERROR(INDEX('All products'!$E$2:$E$107,MATCH(110,'All products'!$Q$2:$Q$107,0))&amp;"","")</f>
        <v/>
      </c>
      <c r="F115" s="9">
        <f>IFERROR(INDEX('All products'!$F$2:$F$107,MATCH(110,'All products'!$Q$2:$Q$107,0))&amp;"","")</f>
        <v/>
      </c>
      <c r="G115" s="9">
        <f>IFERROR(INDEX('All products'!$G$2:$G$107,MATCH(110,'All products'!$Q$2:$Q$107,0))&amp;"","")</f>
        <v/>
      </c>
      <c r="H115" s="9">
        <f>IFERROR(INDEX('All products'!$H$2:$H$107,MATCH(110,'All products'!$Q$2:$Q$107,0))&amp;"","")</f>
        <v/>
      </c>
      <c r="I115" s="9">
        <f>IFERROR(INDEX('All products'!$I$2:$I$107,MATCH(110,'All products'!$Q$2:$Q$107,0))&amp;"","")</f>
        <v/>
      </c>
      <c r="J115" s="9">
        <f>IFERROR(INDEX('All products'!$J$2:$J$107,MATCH(110,'All products'!$Q$2:$Q$107,0))&amp;"","")</f>
        <v/>
      </c>
      <c r="K115" s="9">
        <f>IFERROR(INDEX('All products'!$K$2:$K$107,MATCH(110,'All products'!$Q$2:$Q$107,0))&amp;"","")</f>
        <v/>
      </c>
      <c r="L115" s="9">
        <f>IFERROR(INDEX('All products'!$L$2:$L$107,MATCH(110,'All products'!$Q$2:$Q$107,0))&amp;"","")</f>
        <v/>
      </c>
      <c r="M115" s="9">
        <f>IFERROR(INDEX('All products'!$M$2:$M$107,MATCH(110,'All products'!$Q$2:$Q$107,0))&amp;"","")</f>
        <v/>
      </c>
      <c r="N115" s="9">
        <f>IFERROR(INDEX('All products'!$N$2:$N$107,MATCH(110,'All products'!$Q$2:$Q$107,0))&amp;"","")</f>
        <v/>
      </c>
      <c r="O115" s="9">
        <f>IFERROR(HYPERLINK(INDEX('All products'!$O$2:$O$107,MATCH(110,'All products'!$Q$2:$Q$107,0))),"")</f>
        <v/>
      </c>
    </row>
    <row r="116" ht="15" customHeight="1" s="10">
      <c r="A116" s="9">
        <f>IFERROR(INDEX('All products'!$A$2:$A$107,MATCH(111,'All products'!$Q$2:$Q$107,0))&amp;"","")</f>
        <v/>
      </c>
      <c r="B116" s="9">
        <f>IFERROR(INDEX('All products'!$B$2:$B$107,MATCH(111,'All products'!$Q$2:$Q$107,0))&amp;"","")</f>
        <v/>
      </c>
      <c r="C116" s="9">
        <f>IFERROR(INDEX('All products'!$C$2:$C$107,MATCH(111,'All products'!$Q$2:$Q$107,0))&amp;"","")</f>
        <v/>
      </c>
      <c r="D116" s="9">
        <f>IFERROR(INDEX('All products'!$D$2:$D$107,MATCH(111,'All products'!$Q$2:$Q$107,0))&amp;"","")</f>
        <v/>
      </c>
      <c r="E116" s="9">
        <f>IFERROR(INDEX('All products'!$E$2:$E$107,MATCH(111,'All products'!$Q$2:$Q$107,0))&amp;"","")</f>
        <v/>
      </c>
      <c r="F116" s="9">
        <f>IFERROR(INDEX('All products'!$F$2:$F$107,MATCH(111,'All products'!$Q$2:$Q$107,0))&amp;"","")</f>
        <v/>
      </c>
      <c r="G116" s="9">
        <f>IFERROR(INDEX('All products'!$G$2:$G$107,MATCH(111,'All products'!$Q$2:$Q$107,0))&amp;"","")</f>
        <v/>
      </c>
      <c r="H116" s="9">
        <f>IFERROR(INDEX('All products'!$H$2:$H$107,MATCH(111,'All products'!$Q$2:$Q$107,0))&amp;"","")</f>
        <v/>
      </c>
      <c r="I116" s="9">
        <f>IFERROR(INDEX('All products'!$I$2:$I$107,MATCH(111,'All products'!$Q$2:$Q$107,0))&amp;"","")</f>
        <v/>
      </c>
      <c r="J116" s="9">
        <f>IFERROR(INDEX('All products'!$J$2:$J$107,MATCH(111,'All products'!$Q$2:$Q$107,0))&amp;"","")</f>
        <v/>
      </c>
      <c r="K116" s="9">
        <f>IFERROR(INDEX('All products'!$K$2:$K$107,MATCH(111,'All products'!$Q$2:$Q$107,0))&amp;"","")</f>
        <v/>
      </c>
      <c r="L116" s="9">
        <f>IFERROR(INDEX('All products'!$L$2:$L$107,MATCH(111,'All products'!$Q$2:$Q$107,0))&amp;"","")</f>
        <v/>
      </c>
      <c r="M116" s="9">
        <f>IFERROR(INDEX('All products'!$M$2:$M$107,MATCH(111,'All products'!$Q$2:$Q$107,0))&amp;"","")</f>
        <v/>
      </c>
      <c r="N116" s="9">
        <f>IFERROR(INDEX('All products'!$N$2:$N$107,MATCH(111,'All products'!$Q$2:$Q$107,0))&amp;"","")</f>
        <v/>
      </c>
      <c r="O116" s="9">
        <f>IFERROR(HYPERLINK(INDEX('All products'!$O$2:$O$107,MATCH(111,'All products'!$Q$2:$Q$107,0))),"")</f>
        <v/>
      </c>
    </row>
    <row r="117" ht="15" customHeight="1" s="10">
      <c r="A117" s="9">
        <f>IFERROR(INDEX('All products'!$A$2:$A$107,MATCH(112,'All products'!$Q$2:$Q$107,0))&amp;"","")</f>
        <v/>
      </c>
      <c r="B117" s="9">
        <f>IFERROR(INDEX('All products'!$B$2:$B$107,MATCH(112,'All products'!$Q$2:$Q$107,0))&amp;"","")</f>
        <v/>
      </c>
      <c r="C117" s="9">
        <f>IFERROR(INDEX('All products'!$C$2:$C$107,MATCH(112,'All products'!$Q$2:$Q$107,0))&amp;"","")</f>
        <v/>
      </c>
      <c r="D117" s="9">
        <f>IFERROR(INDEX('All products'!$D$2:$D$107,MATCH(112,'All products'!$Q$2:$Q$107,0))&amp;"","")</f>
        <v/>
      </c>
      <c r="E117" s="9">
        <f>IFERROR(INDEX('All products'!$E$2:$E$107,MATCH(112,'All products'!$Q$2:$Q$107,0))&amp;"","")</f>
        <v/>
      </c>
      <c r="F117" s="9">
        <f>IFERROR(INDEX('All products'!$F$2:$F$107,MATCH(112,'All products'!$Q$2:$Q$107,0))&amp;"","")</f>
        <v/>
      </c>
      <c r="G117" s="9">
        <f>IFERROR(INDEX('All products'!$G$2:$G$107,MATCH(112,'All products'!$Q$2:$Q$107,0))&amp;"","")</f>
        <v/>
      </c>
      <c r="H117" s="9">
        <f>IFERROR(INDEX('All products'!$H$2:$H$107,MATCH(112,'All products'!$Q$2:$Q$107,0))&amp;"","")</f>
        <v/>
      </c>
      <c r="I117" s="9">
        <f>IFERROR(INDEX('All products'!$I$2:$I$107,MATCH(112,'All products'!$Q$2:$Q$107,0))&amp;"","")</f>
        <v/>
      </c>
      <c r="J117" s="9">
        <f>IFERROR(INDEX('All products'!$J$2:$J$107,MATCH(112,'All products'!$Q$2:$Q$107,0))&amp;"","")</f>
        <v/>
      </c>
      <c r="K117" s="9">
        <f>IFERROR(INDEX('All products'!$K$2:$K$107,MATCH(112,'All products'!$Q$2:$Q$107,0))&amp;"","")</f>
        <v/>
      </c>
      <c r="L117" s="9">
        <f>IFERROR(INDEX('All products'!$L$2:$L$107,MATCH(112,'All products'!$Q$2:$Q$107,0))&amp;"","")</f>
        <v/>
      </c>
      <c r="M117" s="9">
        <f>IFERROR(INDEX('All products'!$M$2:$M$107,MATCH(112,'All products'!$Q$2:$Q$107,0))&amp;"","")</f>
        <v/>
      </c>
      <c r="N117" s="9">
        <f>IFERROR(INDEX('All products'!$N$2:$N$107,MATCH(112,'All products'!$Q$2:$Q$107,0))&amp;"","")</f>
        <v/>
      </c>
      <c r="O117" s="9">
        <f>IFERROR(HYPERLINK(INDEX('All products'!$O$2:$O$107,MATCH(112,'All products'!$Q$2:$Q$107,0))),"")</f>
        <v/>
      </c>
    </row>
    <row r="118" ht="15" customHeight="1" s="10">
      <c r="A118" s="9">
        <f>IFERROR(INDEX('All products'!$A$2:$A$107,MATCH(113,'All products'!$Q$2:$Q$107,0))&amp;"","")</f>
        <v/>
      </c>
      <c r="B118" s="9">
        <f>IFERROR(INDEX('All products'!$B$2:$B$107,MATCH(113,'All products'!$Q$2:$Q$107,0))&amp;"","")</f>
        <v/>
      </c>
      <c r="C118" s="9">
        <f>IFERROR(INDEX('All products'!$C$2:$C$107,MATCH(113,'All products'!$Q$2:$Q$107,0))&amp;"","")</f>
        <v/>
      </c>
      <c r="D118" s="9">
        <f>IFERROR(INDEX('All products'!$D$2:$D$107,MATCH(113,'All products'!$Q$2:$Q$107,0))&amp;"","")</f>
        <v/>
      </c>
      <c r="E118" s="9">
        <f>IFERROR(INDEX('All products'!$E$2:$E$107,MATCH(113,'All products'!$Q$2:$Q$107,0))&amp;"","")</f>
        <v/>
      </c>
      <c r="F118" s="9">
        <f>IFERROR(INDEX('All products'!$F$2:$F$107,MATCH(113,'All products'!$Q$2:$Q$107,0))&amp;"","")</f>
        <v/>
      </c>
      <c r="G118" s="9">
        <f>IFERROR(INDEX('All products'!$G$2:$G$107,MATCH(113,'All products'!$Q$2:$Q$107,0))&amp;"","")</f>
        <v/>
      </c>
      <c r="H118" s="9">
        <f>IFERROR(INDEX('All products'!$H$2:$H$107,MATCH(113,'All products'!$Q$2:$Q$107,0))&amp;"","")</f>
        <v/>
      </c>
      <c r="I118" s="9">
        <f>IFERROR(INDEX('All products'!$I$2:$I$107,MATCH(113,'All products'!$Q$2:$Q$107,0))&amp;"","")</f>
        <v/>
      </c>
      <c r="J118" s="9">
        <f>IFERROR(INDEX('All products'!$J$2:$J$107,MATCH(113,'All products'!$Q$2:$Q$107,0))&amp;"","")</f>
        <v/>
      </c>
      <c r="K118" s="9">
        <f>IFERROR(INDEX('All products'!$K$2:$K$107,MATCH(113,'All products'!$Q$2:$Q$107,0))&amp;"","")</f>
        <v/>
      </c>
      <c r="L118" s="9">
        <f>IFERROR(INDEX('All products'!$L$2:$L$107,MATCH(113,'All products'!$Q$2:$Q$107,0))&amp;"","")</f>
        <v/>
      </c>
      <c r="M118" s="9">
        <f>IFERROR(INDEX('All products'!$M$2:$M$107,MATCH(113,'All products'!$Q$2:$Q$107,0))&amp;"","")</f>
        <v/>
      </c>
      <c r="N118" s="9">
        <f>IFERROR(INDEX('All products'!$N$2:$N$107,MATCH(113,'All products'!$Q$2:$Q$107,0))&amp;"","")</f>
        <v/>
      </c>
      <c r="O118" s="9">
        <f>IFERROR(HYPERLINK(INDEX('All products'!$O$2:$O$107,MATCH(113,'All products'!$Q$2:$Q$107,0))),"")</f>
        <v/>
      </c>
    </row>
    <row r="119" ht="15" customHeight="1" s="10">
      <c r="A119" s="9">
        <f>IFERROR(INDEX('All products'!$A$2:$A$107,MATCH(114,'All products'!$Q$2:$Q$107,0))&amp;"","")</f>
        <v/>
      </c>
      <c r="B119" s="9">
        <f>IFERROR(INDEX('All products'!$B$2:$B$107,MATCH(114,'All products'!$Q$2:$Q$107,0))&amp;"","")</f>
        <v/>
      </c>
      <c r="C119" s="9">
        <f>IFERROR(INDEX('All products'!$C$2:$C$107,MATCH(114,'All products'!$Q$2:$Q$107,0))&amp;"","")</f>
        <v/>
      </c>
      <c r="D119" s="9">
        <f>IFERROR(INDEX('All products'!$D$2:$D$107,MATCH(114,'All products'!$Q$2:$Q$107,0))&amp;"","")</f>
        <v/>
      </c>
      <c r="E119" s="9">
        <f>IFERROR(INDEX('All products'!$E$2:$E$107,MATCH(114,'All products'!$Q$2:$Q$107,0))&amp;"","")</f>
        <v/>
      </c>
      <c r="F119" s="9">
        <f>IFERROR(INDEX('All products'!$F$2:$F$107,MATCH(114,'All products'!$Q$2:$Q$107,0))&amp;"","")</f>
        <v/>
      </c>
      <c r="G119" s="9">
        <f>IFERROR(INDEX('All products'!$G$2:$G$107,MATCH(114,'All products'!$Q$2:$Q$107,0))&amp;"","")</f>
        <v/>
      </c>
      <c r="H119" s="9">
        <f>IFERROR(INDEX('All products'!$H$2:$H$107,MATCH(114,'All products'!$Q$2:$Q$107,0))&amp;"","")</f>
        <v/>
      </c>
      <c r="I119" s="9">
        <f>IFERROR(INDEX('All products'!$I$2:$I$107,MATCH(114,'All products'!$Q$2:$Q$107,0))&amp;"","")</f>
        <v/>
      </c>
      <c r="J119" s="9">
        <f>IFERROR(INDEX('All products'!$J$2:$J$107,MATCH(114,'All products'!$Q$2:$Q$107,0))&amp;"","")</f>
        <v/>
      </c>
      <c r="K119" s="9">
        <f>IFERROR(INDEX('All products'!$K$2:$K$107,MATCH(114,'All products'!$Q$2:$Q$107,0))&amp;"","")</f>
        <v/>
      </c>
      <c r="L119" s="9">
        <f>IFERROR(INDEX('All products'!$L$2:$L$107,MATCH(114,'All products'!$Q$2:$Q$107,0))&amp;"","")</f>
        <v/>
      </c>
      <c r="M119" s="9">
        <f>IFERROR(INDEX('All products'!$M$2:$M$107,MATCH(114,'All products'!$Q$2:$Q$107,0))&amp;"","")</f>
        <v/>
      </c>
      <c r="N119" s="9">
        <f>IFERROR(INDEX('All products'!$N$2:$N$107,MATCH(114,'All products'!$Q$2:$Q$107,0))&amp;"","")</f>
        <v/>
      </c>
      <c r="O119" s="9">
        <f>IFERROR(HYPERLINK(INDEX('All products'!$O$2:$O$107,MATCH(114,'All products'!$Q$2:$Q$107,0))),"")</f>
        <v/>
      </c>
    </row>
    <row r="120" ht="15" customHeight="1" s="10">
      <c r="A120" s="9">
        <f>IFERROR(INDEX('All products'!$A$2:$A$107,MATCH(115,'All products'!$Q$2:$Q$107,0))&amp;"","")</f>
        <v/>
      </c>
      <c r="B120" s="9">
        <f>IFERROR(INDEX('All products'!$B$2:$B$107,MATCH(115,'All products'!$Q$2:$Q$107,0))&amp;"","")</f>
        <v/>
      </c>
      <c r="C120" s="9">
        <f>IFERROR(INDEX('All products'!$C$2:$C$107,MATCH(115,'All products'!$Q$2:$Q$107,0))&amp;"","")</f>
        <v/>
      </c>
      <c r="D120" s="9">
        <f>IFERROR(INDEX('All products'!$D$2:$D$107,MATCH(115,'All products'!$Q$2:$Q$107,0))&amp;"","")</f>
        <v/>
      </c>
      <c r="E120" s="9">
        <f>IFERROR(INDEX('All products'!$E$2:$E$107,MATCH(115,'All products'!$Q$2:$Q$107,0))&amp;"","")</f>
        <v/>
      </c>
      <c r="F120" s="9">
        <f>IFERROR(INDEX('All products'!$F$2:$F$107,MATCH(115,'All products'!$Q$2:$Q$107,0))&amp;"","")</f>
        <v/>
      </c>
      <c r="G120" s="9">
        <f>IFERROR(INDEX('All products'!$G$2:$G$107,MATCH(115,'All products'!$Q$2:$Q$107,0))&amp;"","")</f>
        <v/>
      </c>
      <c r="H120" s="9">
        <f>IFERROR(INDEX('All products'!$H$2:$H$107,MATCH(115,'All products'!$Q$2:$Q$107,0))&amp;"","")</f>
        <v/>
      </c>
      <c r="I120" s="9">
        <f>IFERROR(INDEX('All products'!$I$2:$I$107,MATCH(115,'All products'!$Q$2:$Q$107,0))&amp;"","")</f>
        <v/>
      </c>
      <c r="J120" s="9">
        <f>IFERROR(INDEX('All products'!$J$2:$J$107,MATCH(115,'All products'!$Q$2:$Q$107,0))&amp;"","")</f>
        <v/>
      </c>
      <c r="K120" s="9">
        <f>IFERROR(INDEX('All products'!$K$2:$K$107,MATCH(115,'All products'!$Q$2:$Q$107,0))&amp;"","")</f>
        <v/>
      </c>
      <c r="L120" s="9">
        <f>IFERROR(INDEX('All products'!$L$2:$L$107,MATCH(115,'All products'!$Q$2:$Q$107,0))&amp;"","")</f>
        <v/>
      </c>
      <c r="M120" s="9">
        <f>IFERROR(INDEX('All products'!$M$2:$M$107,MATCH(115,'All products'!$Q$2:$Q$107,0))&amp;"","")</f>
        <v/>
      </c>
      <c r="N120" s="9">
        <f>IFERROR(INDEX('All products'!$N$2:$N$107,MATCH(115,'All products'!$Q$2:$Q$107,0))&amp;"","")</f>
        <v/>
      </c>
      <c r="O120" s="9">
        <f>IFERROR(HYPERLINK(INDEX('All products'!$O$2:$O$107,MATCH(115,'All products'!$Q$2:$Q$107,0))),"")</f>
        <v/>
      </c>
    </row>
    <row r="121" ht="15" customHeight="1" s="10">
      <c r="A121" s="9">
        <f>IFERROR(INDEX('All products'!$A$2:$A$107,MATCH(116,'All products'!$Q$2:$Q$107,0))&amp;"","")</f>
        <v/>
      </c>
      <c r="B121" s="9">
        <f>IFERROR(INDEX('All products'!$B$2:$B$107,MATCH(116,'All products'!$Q$2:$Q$107,0))&amp;"","")</f>
        <v/>
      </c>
      <c r="C121" s="9">
        <f>IFERROR(INDEX('All products'!$C$2:$C$107,MATCH(116,'All products'!$Q$2:$Q$107,0))&amp;"","")</f>
        <v/>
      </c>
      <c r="D121" s="9">
        <f>IFERROR(INDEX('All products'!$D$2:$D$107,MATCH(116,'All products'!$Q$2:$Q$107,0))&amp;"","")</f>
        <v/>
      </c>
      <c r="E121" s="9">
        <f>IFERROR(INDEX('All products'!$E$2:$E$107,MATCH(116,'All products'!$Q$2:$Q$107,0))&amp;"","")</f>
        <v/>
      </c>
      <c r="F121" s="9">
        <f>IFERROR(INDEX('All products'!$F$2:$F$107,MATCH(116,'All products'!$Q$2:$Q$107,0))&amp;"","")</f>
        <v/>
      </c>
      <c r="G121" s="9">
        <f>IFERROR(INDEX('All products'!$G$2:$G$107,MATCH(116,'All products'!$Q$2:$Q$107,0))&amp;"","")</f>
        <v/>
      </c>
      <c r="H121" s="9">
        <f>IFERROR(INDEX('All products'!$H$2:$H$107,MATCH(116,'All products'!$Q$2:$Q$107,0))&amp;"","")</f>
        <v/>
      </c>
      <c r="I121" s="9">
        <f>IFERROR(INDEX('All products'!$I$2:$I$107,MATCH(116,'All products'!$Q$2:$Q$107,0))&amp;"","")</f>
        <v/>
      </c>
      <c r="J121" s="9">
        <f>IFERROR(INDEX('All products'!$J$2:$J$107,MATCH(116,'All products'!$Q$2:$Q$107,0))&amp;"","")</f>
        <v/>
      </c>
      <c r="K121" s="9">
        <f>IFERROR(INDEX('All products'!$K$2:$K$107,MATCH(116,'All products'!$Q$2:$Q$107,0))&amp;"","")</f>
        <v/>
      </c>
      <c r="L121" s="9">
        <f>IFERROR(INDEX('All products'!$L$2:$L$107,MATCH(116,'All products'!$Q$2:$Q$107,0))&amp;"","")</f>
        <v/>
      </c>
      <c r="M121" s="9">
        <f>IFERROR(INDEX('All products'!$M$2:$M$107,MATCH(116,'All products'!$Q$2:$Q$107,0))&amp;"","")</f>
        <v/>
      </c>
      <c r="N121" s="9">
        <f>IFERROR(INDEX('All products'!$N$2:$N$107,MATCH(116,'All products'!$Q$2:$Q$107,0))&amp;"","")</f>
        <v/>
      </c>
      <c r="O121" s="9">
        <f>IFERROR(HYPERLINK(INDEX('All products'!$O$2:$O$107,MATCH(116,'All products'!$Q$2:$Q$107,0))),"")</f>
        <v/>
      </c>
    </row>
    <row r="122" ht="15" customHeight="1" s="10">
      <c r="A122" s="9">
        <f>IFERROR(INDEX('All products'!$A$2:$A$107,MATCH(117,'All products'!$Q$2:$Q$107,0))&amp;"","")</f>
        <v/>
      </c>
      <c r="B122" s="9">
        <f>IFERROR(INDEX('All products'!$B$2:$B$107,MATCH(117,'All products'!$Q$2:$Q$107,0))&amp;"","")</f>
        <v/>
      </c>
      <c r="C122" s="9">
        <f>IFERROR(INDEX('All products'!$C$2:$C$107,MATCH(117,'All products'!$Q$2:$Q$107,0))&amp;"","")</f>
        <v/>
      </c>
      <c r="D122" s="9">
        <f>IFERROR(INDEX('All products'!$D$2:$D$107,MATCH(117,'All products'!$Q$2:$Q$107,0))&amp;"","")</f>
        <v/>
      </c>
      <c r="E122" s="9">
        <f>IFERROR(INDEX('All products'!$E$2:$E$107,MATCH(117,'All products'!$Q$2:$Q$107,0))&amp;"","")</f>
        <v/>
      </c>
      <c r="F122" s="9">
        <f>IFERROR(INDEX('All products'!$F$2:$F$107,MATCH(117,'All products'!$Q$2:$Q$107,0))&amp;"","")</f>
        <v/>
      </c>
      <c r="G122" s="9">
        <f>IFERROR(INDEX('All products'!$G$2:$G$107,MATCH(117,'All products'!$Q$2:$Q$107,0))&amp;"","")</f>
        <v/>
      </c>
      <c r="H122" s="9">
        <f>IFERROR(INDEX('All products'!$H$2:$H$107,MATCH(117,'All products'!$Q$2:$Q$107,0))&amp;"","")</f>
        <v/>
      </c>
      <c r="I122" s="9">
        <f>IFERROR(INDEX('All products'!$I$2:$I$107,MATCH(117,'All products'!$Q$2:$Q$107,0))&amp;"","")</f>
        <v/>
      </c>
      <c r="J122" s="9">
        <f>IFERROR(INDEX('All products'!$J$2:$J$107,MATCH(117,'All products'!$Q$2:$Q$107,0))&amp;"","")</f>
        <v/>
      </c>
      <c r="K122" s="9">
        <f>IFERROR(INDEX('All products'!$K$2:$K$107,MATCH(117,'All products'!$Q$2:$Q$107,0))&amp;"","")</f>
        <v/>
      </c>
      <c r="L122" s="9">
        <f>IFERROR(INDEX('All products'!$L$2:$L$107,MATCH(117,'All products'!$Q$2:$Q$107,0))&amp;"","")</f>
        <v/>
      </c>
      <c r="M122" s="9">
        <f>IFERROR(INDEX('All products'!$M$2:$M$107,MATCH(117,'All products'!$Q$2:$Q$107,0))&amp;"","")</f>
        <v/>
      </c>
      <c r="N122" s="9">
        <f>IFERROR(INDEX('All products'!$N$2:$N$107,MATCH(117,'All products'!$Q$2:$Q$107,0))&amp;"","")</f>
        <v/>
      </c>
      <c r="O122" s="9">
        <f>IFERROR(HYPERLINK(INDEX('All products'!$O$2:$O$107,MATCH(117,'All products'!$Q$2:$Q$107,0))),"")</f>
        <v/>
      </c>
    </row>
    <row r="123" ht="15" customHeight="1" s="10">
      <c r="A123" s="9">
        <f>IFERROR(INDEX('All products'!$A$2:$A$107,MATCH(118,'All products'!$Q$2:$Q$107,0))&amp;"","")</f>
        <v/>
      </c>
      <c r="B123" s="9">
        <f>IFERROR(INDEX('All products'!$B$2:$B$107,MATCH(118,'All products'!$Q$2:$Q$107,0))&amp;"","")</f>
        <v/>
      </c>
      <c r="C123" s="9">
        <f>IFERROR(INDEX('All products'!$C$2:$C$107,MATCH(118,'All products'!$Q$2:$Q$107,0))&amp;"","")</f>
        <v/>
      </c>
      <c r="D123" s="9">
        <f>IFERROR(INDEX('All products'!$D$2:$D$107,MATCH(118,'All products'!$Q$2:$Q$107,0))&amp;"","")</f>
        <v/>
      </c>
      <c r="E123" s="9">
        <f>IFERROR(INDEX('All products'!$E$2:$E$107,MATCH(118,'All products'!$Q$2:$Q$107,0))&amp;"","")</f>
        <v/>
      </c>
      <c r="F123" s="9">
        <f>IFERROR(INDEX('All products'!$F$2:$F$107,MATCH(118,'All products'!$Q$2:$Q$107,0))&amp;"","")</f>
        <v/>
      </c>
      <c r="G123" s="9">
        <f>IFERROR(INDEX('All products'!$G$2:$G$107,MATCH(118,'All products'!$Q$2:$Q$107,0))&amp;"","")</f>
        <v/>
      </c>
      <c r="H123" s="9">
        <f>IFERROR(INDEX('All products'!$H$2:$H$107,MATCH(118,'All products'!$Q$2:$Q$107,0))&amp;"","")</f>
        <v/>
      </c>
      <c r="I123" s="9">
        <f>IFERROR(INDEX('All products'!$I$2:$I$107,MATCH(118,'All products'!$Q$2:$Q$107,0))&amp;"","")</f>
        <v/>
      </c>
      <c r="J123" s="9">
        <f>IFERROR(INDEX('All products'!$J$2:$J$107,MATCH(118,'All products'!$Q$2:$Q$107,0))&amp;"","")</f>
        <v/>
      </c>
      <c r="K123" s="9">
        <f>IFERROR(INDEX('All products'!$K$2:$K$107,MATCH(118,'All products'!$Q$2:$Q$107,0))&amp;"","")</f>
        <v/>
      </c>
      <c r="L123" s="9">
        <f>IFERROR(INDEX('All products'!$L$2:$L$107,MATCH(118,'All products'!$Q$2:$Q$107,0))&amp;"","")</f>
        <v/>
      </c>
      <c r="M123" s="9">
        <f>IFERROR(INDEX('All products'!$M$2:$M$107,MATCH(118,'All products'!$Q$2:$Q$107,0))&amp;"","")</f>
        <v/>
      </c>
      <c r="N123" s="9">
        <f>IFERROR(INDEX('All products'!$N$2:$N$107,MATCH(118,'All products'!$Q$2:$Q$107,0))&amp;"","")</f>
        <v/>
      </c>
      <c r="O123" s="9">
        <f>IFERROR(HYPERLINK(INDEX('All products'!$O$2:$O$107,MATCH(118,'All products'!$Q$2:$Q$107,0))),"")</f>
        <v/>
      </c>
    </row>
    <row r="124" ht="15" customHeight="1" s="10">
      <c r="A124" s="9">
        <f>IFERROR(INDEX('All products'!$A$2:$A$107,MATCH(119,'All products'!$Q$2:$Q$107,0))&amp;"","")</f>
        <v/>
      </c>
      <c r="B124" s="9">
        <f>IFERROR(INDEX('All products'!$B$2:$B$107,MATCH(119,'All products'!$Q$2:$Q$107,0))&amp;"","")</f>
        <v/>
      </c>
      <c r="C124" s="9">
        <f>IFERROR(INDEX('All products'!$C$2:$C$107,MATCH(119,'All products'!$Q$2:$Q$107,0))&amp;"","")</f>
        <v/>
      </c>
      <c r="D124" s="9">
        <f>IFERROR(INDEX('All products'!$D$2:$D$107,MATCH(119,'All products'!$Q$2:$Q$107,0))&amp;"","")</f>
        <v/>
      </c>
      <c r="E124" s="9">
        <f>IFERROR(INDEX('All products'!$E$2:$E$107,MATCH(119,'All products'!$Q$2:$Q$107,0))&amp;"","")</f>
        <v/>
      </c>
      <c r="F124" s="9">
        <f>IFERROR(INDEX('All products'!$F$2:$F$107,MATCH(119,'All products'!$Q$2:$Q$107,0))&amp;"","")</f>
        <v/>
      </c>
      <c r="G124" s="9">
        <f>IFERROR(INDEX('All products'!$G$2:$G$107,MATCH(119,'All products'!$Q$2:$Q$107,0))&amp;"","")</f>
        <v/>
      </c>
      <c r="H124" s="9">
        <f>IFERROR(INDEX('All products'!$H$2:$H$107,MATCH(119,'All products'!$Q$2:$Q$107,0))&amp;"","")</f>
        <v/>
      </c>
      <c r="I124" s="9">
        <f>IFERROR(INDEX('All products'!$I$2:$I$107,MATCH(119,'All products'!$Q$2:$Q$107,0))&amp;"","")</f>
        <v/>
      </c>
      <c r="J124" s="9">
        <f>IFERROR(INDEX('All products'!$J$2:$J$107,MATCH(119,'All products'!$Q$2:$Q$107,0))&amp;"","")</f>
        <v/>
      </c>
      <c r="K124" s="9">
        <f>IFERROR(INDEX('All products'!$K$2:$K$107,MATCH(119,'All products'!$Q$2:$Q$107,0))&amp;"","")</f>
        <v/>
      </c>
      <c r="L124" s="9">
        <f>IFERROR(INDEX('All products'!$L$2:$L$107,MATCH(119,'All products'!$Q$2:$Q$107,0))&amp;"","")</f>
        <v/>
      </c>
      <c r="M124" s="9">
        <f>IFERROR(INDEX('All products'!$M$2:$M$107,MATCH(119,'All products'!$Q$2:$Q$107,0))&amp;"","")</f>
        <v/>
      </c>
      <c r="N124" s="9">
        <f>IFERROR(INDEX('All products'!$N$2:$N$107,MATCH(119,'All products'!$Q$2:$Q$107,0))&amp;"","")</f>
        <v/>
      </c>
      <c r="O124" s="9">
        <f>IFERROR(HYPERLINK(INDEX('All products'!$O$2:$O$107,MATCH(119,'All products'!$Q$2:$Q$107,0))),"")</f>
        <v/>
      </c>
    </row>
    <row r="125" ht="15" customHeight="1" s="10">
      <c r="A125" s="9">
        <f>IFERROR(INDEX('All products'!$A$2:$A$107,MATCH(120,'All products'!$Q$2:$Q$107,0))&amp;"","")</f>
        <v/>
      </c>
      <c r="B125" s="9">
        <f>IFERROR(INDEX('All products'!$B$2:$B$107,MATCH(120,'All products'!$Q$2:$Q$107,0))&amp;"","")</f>
        <v/>
      </c>
      <c r="C125" s="9">
        <f>IFERROR(INDEX('All products'!$C$2:$C$107,MATCH(120,'All products'!$Q$2:$Q$107,0))&amp;"","")</f>
        <v/>
      </c>
      <c r="D125" s="9">
        <f>IFERROR(INDEX('All products'!$D$2:$D$107,MATCH(120,'All products'!$Q$2:$Q$107,0))&amp;"","")</f>
        <v/>
      </c>
      <c r="E125" s="9">
        <f>IFERROR(INDEX('All products'!$E$2:$E$107,MATCH(120,'All products'!$Q$2:$Q$107,0))&amp;"","")</f>
        <v/>
      </c>
      <c r="F125" s="9">
        <f>IFERROR(INDEX('All products'!$F$2:$F$107,MATCH(120,'All products'!$Q$2:$Q$107,0))&amp;"","")</f>
        <v/>
      </c>
      <c r="G125" s="9">
        <f>IFERROR(INDEX('All products'!$G$2:$G$107,MATCH(120,'All products'!$Q$2:$Q$107,0))&amp;"","")</f>
        <v/>
      </c>
      <c r="H125" s="9">
        <f>IFERROR(INDEX('All products'!$H$2:$H$107,MATCH(120,'All products'!$Q$2:$Q$107,0))&amp;"","")</f>
        <v/>
      </c>
      <c r="I125" s="9">
        <f>IFERROR(INDEX('All products'!$I$2:$I$107,MATCH(120,'All products'!$Q$2:$Q$107,0))&amp;"","")</f>
        <v/>
      </c>
      <c r="J125" s="9">
        <f>IFERROR(INDEX('All products'!$J$2:$J$107,MATCH(120,'All products'!$Q$2:$Q$107,0))&amp;"","")</f>
        <v/>
      </c>
      <c r="K125" s="9">
        <f>IFERROR(INDEX('All products'!$K$2:$K$107,MATCH(120,'All products'!$Q$2:$Q$107,0))&amp;"","")</f>
        <v/>
      </c>
      <c r="L125" s="9">
        <f>IFERROR(INDEX('All products'!$L$2:$L$107,MATCH(120,'All products'!$Q$2:$Q$107,0))&amp;"","")</f>
        <v/>
      </c>
      <c r="M125" s="9">
        <f>IFERROR(INDEX('All products'!$M$2:$M$107,MATCH(120,'All products'!$Q$2:$Q$107,0))&amp;"","")</f>
        <v/>
      </c>
      <c r="N125" s="9">
        <f>IFERROR(INDEX('All products'!$N$2:$N$107,MATCH(120,'All products'!$Q$2:$Q$107,0))&amp;"","")</f>
        <v/>
      </c>
      <c r="O125" s="9">
        <f>IFERROR(HYPERLINK(INDEX('All products'!$O$2:$O$107,MATCH(120,'All products'!$Q$2:$Q$107,0))),"")</f>
        <v/>
      </c>
    </row>
    <row r="126" ht="15" customHeight="1" s="10">
      <c r="A126" s="9">
        <f>IFERROR(INDEX('All products'!$A$2:$A$107,MATCH(121,'All products'!$Q$2:$Q$107,0))&amp;"","")</f>
        <v/>
      </c>
      <c r="B126" s="9">
        <f>IFERROR(INDEX('All products'!$B$2:$B$107,MATCH(121,'All products'!$Q$2:$Q$107,0))&amp;"","")</f>
        <v/>
      </c>
      <c r="C126" s="9">
        <f>IFERROR(INDEX('All products'!$C$2:$C$107,MATCH(121,'All products'!$Q$2:$Q$107,0))&amp;"","")</f>
        <v/>
      </c>
      <c r="D126" s="9">
        <f>IFERROR(INDEX('All products'!$D$2:$D$107,MATCH(121,'All products'!$Q$2:$Q$107,0))&amp;"","")</f>
        <v/>
      </c>
      <c r="E126" s="9">
        <f>IFERROR(INDEX('All products'!$E$2:$E$107,MATCH(121,'All products'!$Q$2:$Q$107,0))&amp;"","")</f>
        <v/>
      </c>
      <c r="F126" s="9">
        <f>IFERROR(INDEX('All products'!$F$2:$F$107,MATCH(121,'All products'!$Q$2:$Q$107,0))&amp;"","")</f>
        <v/>
      </c>
      <c r="G126" s="9">
        <f>IFERROR(INDEX('All products'!$G$2:$G$107,MATCH(121,'All products'!$Q$2:$Q$107,0))&amp;"","")</f>
        <v/>
      </c>
      <c r="H126" s="9">
        <f>IFERROR(INDEX('All products'!$H$2:$H$107,MATCH(121,'All products'!$Q$2:$Q$107,0))&amp;"","")</f>
        <v/>
      </c>
      <c r="I126" s="9">
        <f>IFERROR(INDEX('All products'!$I$2:$I$107,MATCH(121,'All products'!$Q$2:$Q$107,0))&amp;"","")</f>
        <v/>
      </c>
      <c r="J126" s="9">
        <f>IFERROR(INDEX('All products'!$J$2:$J$107,MATCH(121,'All products'!$Q$2:$Q$107,0))&amp;"","")</f>
        <v/>
      </c>
      <c r="K126" s="9">
        <f>IFERROR(INDEX('All products'!$K$2:$K$107,MATCH(121,'All products'!$Q$2:$Q$107,0))&amp;"","")</f>
        <v/>
      </c>
      <c r="L126" s="9">
        <f>IFERROR(INDEX('All products'!$L$2:$L$107,MATCH(121,'All products'!$Q$2:$Q$107,0))&amp;"","")</f>
        <v/>
      </c>
      <c r="M126" s="9">
        <f>IFERROR(INDEX('All products'!$M$2:$M$107,MATCH(121,'All products'!$Q$2:$Q$107,0))&amp;"","")</f>
        <v/>
      </c>
      <c r="N126" s="9">
        <f>IFERROR(INDEX('All products'!$N$2:$N$107,MATCH(121,'All products'!$Q$2:$Q$107,0))&amp;"","")</f>
        <v/>
      </c>
      <c r="O126" s="9">
        <f>IFERROR(HYPERLINK(INDEX('All products'!$O$2:$O$107,MATCH(121,'All products'!$Q$2:$Q$107,0))),"")</f>
        <v/>
      </c>
    </row>
    <row r="127" ht="15" customHeight="1" s="10">
      <c r="A127" s="9">
        <f>IFERROR(INDEX('All products'!$A$2:$A$107,MATCH(122,'All products'!$Q$2:$Q$107,0))&amp;"","")</f>
        <v/>
      </c>
      <c r="B127" s="9">
        <f>IFERROR(INDEX('All products'!$B$2:$B$107,MATCH(122,'All products'!$Q$2:$Q$107,0))&amp;"","")</f>
        <v/>
      </c>
      <c r="C127" s="9">
        <f>IFERROR(INDEX('All products'!$C$2:$C$107,MATCH(122,'All products'!$Q$2:$Q$107,0))&amp;"","")</f>
        <v/>
      </c>
      <c r="D127" s="9">
        <f>IFERROR(INDEX('All products'!$D$2:$D$107,MATCH(122,'All products'!$Q$2:$Q$107,0))&amp;"","")</f>
        <v/>
      </c>
      <c r="E127" s="9">
        <f>IFERROR(INDEX('All products'!$E$2:$E$107,MATCH(122,'All products'!$Q$2:$Q$107,0))&amp;"","")</f>
        <v/>
      </c>
      <c r="F127" s="9">
        <f>IFERROR(INDEX('All products'!$F$2:$F$107,MATCH(122,'All products'!$Q$2:$Q$107,0))&amp;"","")</f>
        <v/>
      </c>
      <c r="G127" s="9">
        <f>IFERROR(INDEX('All products'!$G$2:$G$107,MATCH(122,'All products'!$Q$2:$Q$107,0))&amp;"","")</f>
        <v/>
      </c>
      <c r="H127" s="9">
        <f>IFERROR(INDEX('All products'!$H$2:$H$107,MATCH(122,'All products'!$Q$2:$Q$107,0))&amp;"","")</f>
        <v/>
      </c>
      <c r="I127" s="9">
        <f>IFERROR(INDEX('All products'!$I$2:$I$107,MATCH(122,'All products'!$Q$2:$Q$107,0))&amp;"","")</f>
        <v/>
      </c>
      <c r="J127" s="9">
        <f>IFERROR(INDEX('All products'!$J$2:$J$107,MATCH(122,'All products'!$Q$2:$Q$107,0))&amp;"","")</f>
        <v/>
      </c>
      <c r="K127" s="9">
        <f>IFERROR(INDEX('All products'!$K$2:$K$107,MATCH(122,'All products'!$Q$2:$Q$107,0))&amp;"","")</f>
        <v/>
      </c>
      <c r="L127" s="9">
        <f>IFERROR(INDEX('All products'!$L$2:$L$107,MATCH(122,'All products'!$Q$2:$Q$107,0))&amp;"","")</f>
        <v/>
      </c>
      <c r="M127" s="9">
        <f>IFERROR(INDEX('All products'!$M$2:$M$107,MATCH(122,'All products'!$Q$2:$Q$107,0))&amp;"","")</f>
        <v/>
      </c>
      <c r="N127" s="9">
        <f>IFERROR(INDEX('All products'!$N$2:$N$107,MATCH(122,'All products'!$Q$2:$Q$107,0))&amp;"","")</f>
        <v/>
      </c>
      <c r="O127" s="9">
        <f>IFERROR(HYPERLINK(INDEX('All products'!$O$2:$O$107,MATCH(122,'All products'!$Q$2:$Q$107,0))),"")</f>
        <v/>
      </c>
    </row>
    <row r="128" ht="15" customHeight="1" s="10">
      <c r="A128" s="9">
        <f>IFERROR(INDEX('All products'!$A$2:$A$107,MATCH(123,'All products'!$Q$2:$Q$107,0))&amp;"","")</f>
        <v/>
      </c>
      <c r="B128" s="9">
        <f>IFERROR(INDEX('All products'!$B$2:$B$107,MATCH(123,'All products'!$Q$2:$Q$107,0))&amp;"","")</f>
        <v/>
      </c>
      <c r="C128" s="9">
        <f>IFERROR(INDEX('All products'!$C$2:$C$107,MATCH(123,'All products'!$Q$2:$Q$107,0))&amp;"","")</f>
        <v/>
      </c>
      <c r="D128" s="9">
        <f>IFERROR(INDEX('All products'!$D$2:$D$107,MATCH(123,'All products'!$Q$2:$Q$107,0))&amp;"","")</f>
        <v/>
      </c>
      <c r="E128" s="9">
        <f>IFERROR(INDEX('All products'!$E$2:$E$107,MATCH(123,'All products'!$Q$2:$Q$107,0))&amp;"","")</f>
        <v/>
      </c>
      <c r="F128" s="9">
        <f>IFERROR(INDEX('All products'!$F$2:$F$107,MATCH(123,'All products'!$Q$2:$Q$107,0))&amp;"","")</f>
        <v/>
      </c>
      <c r="G128" s="9">
        <f>IFERROR(INDEX('All products'!$G$2:$G$107,MATCH(123,'All products'!$Q$2:$Q$107,0))&amp;"","")</f>
        <v/>
      </c>
      <c r="H128" s="9">
        <f>IFERROR(INDEX('All products'!$H$2:$H$107,MATCH(123,'All products'!$Q$2:$Q$107,0))&amp;"","")</f>
        <v/>
      </c>
      <c r="I128" s="9">
        <f>IFERROR(INDEX('All products'!$I$2:$I$107,MATCH(123,'All products'!$Q$2:$Q$107,0))&amp;"","")</f>
        <v/>
      </c>
      <c r="J128" s="9">
        <f>IFERROR(INDEX('All products'!$J$2:$J$107,MATCH(123,'All products'!$Q$2:$Q$107,0))&amp;"","")</f>
        <v/>
      </c>
      <c r="K128" s="9">
        <f>IFERROR(INDEX('All products'!$K$2:$K$107,MATCH(123,'All products'!$Q$2:$Q$107,0))&amp;"","")</f>
        <v/>
      </c>
      <c r="L128" s="9">
        <f>IFERROR(INDEX('All products'!$L$2:$L$107,MATCH(123,'All products'!$Q$2:$Q$107,0))&amp;"","")</f>
        <v/>
      </c>
      <c r="M128" s="9">
        <f>IFERROR(INDEX('All products'!$M$2:$M$107,MATCH(123,'All products'!$Q$2:$Q$107,0))&amp;"","")</f>
        <v/>
      </c>
      <c r="N128" s="9">
        <f>IFERROR(INDEX('All products'!$N$2:$N$107,MATCH(123,'All products'!$Q$2:$Q$107,0))&amp;"","")</f>
        <v/>
      </c>
      <c r="O128" s="9">
        <f>IFERROR(HYPERLINK(INDEX('All products'!$O$2:$O$107,MATCH(123,'All products'!$Q$2:$Q$107,0))),"")</f>
        <v/>
      </c>
    </row>
    <row r="129" ht="15" customHeight="1" s="10">
      <c r="A129" s="9">
        <f>IFERROR(INDEX('All products'!$A$2:$A$107,MATCH(124,'All products'!$Q$2:$Q$107,0))&amp;"","")</f>
        <v/>
      </c>
      <c r="B129" s="9">
        <f>IFERROR(INDEX('All products'!$B$2:$B$107,MATCH(124,'All products'!$Q$2:$Q$107,0))&amp;"","")</f>
        <v/>
      </c>
      <c r="C129" s="9">
        <f>IFERROR(INDEX('All products'!$C$2:$C$107,MATCH(124,'All products'!$Q$2:$Q$107,0))&amp;"","")</f>
        <v/>
      </c>
      <c r="D129" s="9">
        <f>IFERROR(INDEX('All products'!$D$2:$D$107,MATCH(124,'All products'!$Q$2:$Q$107,0))&amp;"","")</f>
        <v/>
      </c>
      <c r="E129" s="9">
        <f>IFERROR(INDEX('All products'!$E$2:$E$107,MATCH(124,'All products'!$Q$2:$Q$107,0))&amp;"","")</f>
        <v/>
      </c>
      <c r="F129" s="9">
        <f>IFERROR(INDEX('All products'!$F$2:$F$107,MATCH(124,'All products'!$Q$2:$Q$107,0))&amp;"","")</f>
        <v/>
      </c>
      <c r="G129" s="9">
        <f>IFERROR(INDEX('All products'!$G$2:$G$107,MATCH(124,'All products'!$Q$2:$Q$107,0))&amp;"","")</f>
        <v/>
      </c>
      <c r="H129" s="9">
        <f>IFERROR(INDEX('All products'!$H$2:$H$107,MATCH(124,'All products'!$Q$2:$Q$107,0))&amp;"","")</f>
        <v/>
      </c>
      <c r="I129" s="9">
        <f>IFERROR(INDEX('All products'!$I$2:$I$107,MATCH(124,'All products'!$Q$2:$Q$107,0))&amp;"","")</f>
        <v/>
      </c>
      <c r="J129" s="9">
        <f>IFERROR(INDEX('All products'!$J$2:$J$107,MATCH(124,'All products'!$Q$2:$Q$107,0))&amp;"","")</f>
        <v/>
      </c>
      <c r="K129" s="9">
        <f>IFERROR(INDEX('All products'!$K$2:$K$107,MATCH(124,'All products'!$Q$2:$Q$107,0))&amp;"","")</f>
        <v/>
      </c>
      <c r="L129" s="9">
        <f>IFERROR(INDEX('All products'!$L$2:$L$107,MATCH(124,'All products'!$Q$2:$Q$107,0))&amp;"","")</f>
        <v/>
      </c>
      <c r="M129" s="9">
        <f>IFERROR(INDEX('All products'!$M$2:$M$107,MATCH(124,'All products'!$Q$2:$Q$107,0))&amp;"","")</f>
        <v/>
      </c>
      <c r="N129" s="9">
        <f>IFERROR(INDEX('All products'!$N$2:$N$107,MATCH(124,'All products'!$Q$2:$Q$107,0))&amp;"","")</f>
        <v/>
      </c>
      <c r="O129" s="9">
        <f>IFERROR(HYPERLINK(INDEX('All products'!$O$2:$O$107,MATCH(124,'All products'!$Q$2:$Q$107,0))),"")</f>
        <v/>
      </c>
    </row>
    <row r="130" ht="15" customHeight="1" s="10">
      <c r="A130" s="9">
        <f>IFERROR(INDEX('All products'!$A$2:$A$107,MATCH(125,'All products'!$Q$2:$Q$107,0))&amp;"","")</f>
        <v/>
      </c>
      <c r="B130" s="9">
        <f>IFERROR(INDEX('All products'!$B$2:$B$107,MATCH(125,'All products'!$Q$2:$Q$107,0))&amp;"","")</f>
        <v/>
      </c>
      <c r="C130" s="9">
        <f>IFERROR(INDEX('All products'!$C$2:$C$107,MATCH(125,'All products'!$Q$2:$Q$107,0))&amp;"","")</f>
        <v/>
      </c>
      <c r="D130" s="9">
        <f>IFERROR(INDEX('All products'!$D$2:$D$107,MATCH(125,'All products'!$Q$2:$Q$107,0))&amp;"","")</f>
        <v/>
      </c>
      <c r="E130" s="9">
        <f>IFERROR(INDEX('All products'!$E$2:$E$107,MATCH(125,'All products'!$Q$2:$Q$107,0))&amp;"","")</f>
        <v/>
      </c>
      <c r="F130" s="9">
        <f>IFERROR(INDEX('All products'!$F$2:$F$107,MATCH(125,'All products'!$Q$2:$Q$107,0))&amp;"","")</f>
        <v/>
      </c>
      <c r="G130" s="9">
        <f>IFERROR(INDEX('All products'!$G$2:$G$107,MATCH(125,'All products'!$Q$2:$Q$107,0))&amp;"","")</f>
        <v/>
      </c>
      <c r="H130" s="9">
        <f>IFERROR(INDEX('All products'!$H$2:$H$107,MATCH(125,'All products'!$Q$2:$Q$107,0))&amp;"","")</f>
        <v/>
      </c>
      <c r="I130" s="9">
        <f>IFERROR(INDEX('All products'!$I$2:$I$107,MATCH(125,'All products'!$Q$2:$Q$107,0))&amp;"","")</f>
        <v/>
      </c>
      <c r="J130" s="9">
        <f>IFERROR(INDEX('All products'!$J$2:$J$107,MATCH(125,'All products'!$Q$2:$Q$107,0))&amp;"","")</f>
        <v/>
      </c>
      <c r="K130" s="9">
        <f>IFERROR(INDEX('All products'!$K$2:$K$107,MATCH(125,'All products'!$Q$2:$Q$107,0))&amp;"","")</f>
        <v/>
      </c>
      <c r="L130" s="9">
        <f>IFERROR(INDEX('All products'!$L$2:$L$107,MATCH(125,'All products'!$Q$2:$Q$107,0))&amp;"","")</f>
        <v/>
      </c>
      <c r="M130" s="9">
        <f>IFERROR(INDEX('All products'!$M$2:$M$107,MATCH(125,'All products'!$Q$2:$Q$107,0))&amp;"","")</f>
        <v/>
      </c>
      <c r="N130" s="9">
        <f>IFERROR(INDEX('All products'!$N$2:$N$107,MATCH(125,'All products'!$Q$2:$Q$107,0))&amp;"","")</f>
        <v/>
      </c>
      <c r="O130" s="9">
        <f>IFERROR(HYPERLINK(INDEX('All products'!$O$2:$O$107,MATCH(125,'All products'!$Q$2:$Q$107,0))),"")</f>
        <v/>
      </c>
    </row>
    <row r="131" ht="15" customHeight="1" s="10">
      <c r="A131" s="9">
        <f>IFERROR(INDEX('All products'!$A$2:$A$107,MATCH(126,'All products'!$Q$2:$Q$107,0))&amp;"","")</f>
        <v/>
      </c>
      <c r="B131" s="9">
        <f>IFERROR(INDEX('All products'!$B$2:$B$107,MATCH(126,'All products'!$Q$2:$Q$107,0))&amp;"","")</f>
        <v/>
      </c>
      <c r="C131" s="9">
        <f>IFERROR(INDEX('All products'!$C$2:$C$107,MATCH(126,'All products'!$Q$2:$Q$107,0))&amp;"","")</f>
        <v/>
      </c>
      <c r="D131" s="9">
        <f>IFERROR(INDEX('All products'!$D$2:$D$107,MATCH(126,'All products'!$Q$2:$Q$107,0))&amp;"","")</f>
        <v/>
      </c>
      <c r="E131" s="9">
        <f>IFERROR(INDEX('All products'!$E$2:$E$107,MATCH(126,'All products'!$Q$2:$Q$107,0))&amp;"","")</f>
        <v/>
      </c>
      <c r="F131" s="9">
        <f>IFERROR(INDEX('All products'!$F$2:$F$107,MATCH(126,'All products'!$Q$2:$Q$107,0))&amp;"","")</f>
        <v/>
      </c>
      <c r="G131" s="9">
        <f>IFERROR(INDEX('All products'!$G$2:$G$107,MATCH(126,'All products'!$Q$2:$Q$107,0))&amp;"","")</f>
        <v/>
      </c>
      <c r="H131" s="9">
        <f>IFERROR(INDEX('All products'!$H$2:$H$107,MATCH(126,'All products'!$Q$2:$Q$107,0))&amp;"","")</f>
        <v/>
      </c>
      <c r="I131" s="9">
        <f>IFERROR(INDEX('All products'!$I$2:$I$107,MATCH(126,'All products'!$Q$2:$Q$107,0))&amp;"","")</f>
        <v/>
      </c>
      <c r="J131" s="9">
        <f>IFERROR(INDEX('All products'!$J$2:$J$107,MATCH(126,'All products'!$Q$2:$Q$107,0))&amp;"","")</f>
        <v/>
      </c>
      <c r="K131" s="9">
        <f>IFERROR(INDEX('All products'!$K$2:$K$107,MATCH(126,'All products'!$Q$2:$Q$107,0))&amp;"","")</f>
        <v/>
      </c>
      <c r="L131" s="9">
        <f>IFERROR(INDEX('All products'!$L$2:$L$107,MATCH(126,'All products'!$Q$2:$Q$107,0))&amp;"","")</f>
        <v/>
      </c>
      <c r="M131" s="9">
        <f>IFERROR(INDEX('All products'!$M$2:$M$107,MATCH(126,'All products'!$Q$2:$Q$107,0))&amp;"","")</f>
        <v/>
      </c>
      <c r="N131" s="9">
        <f>IFERROR(INDEX('All products'!$N$2:$N$107,MATCH(126,'All products'!$Q$2:$Q$107,0))&amp;"","")</f>
        <v/>
      </c>
      <c r="O131" s="9">
        <f>IFERROR(HYPERLINK(INDEX('All products'!$O$2:$O$107,MATCH(126,'All products'!$Q$2:$Q$107,0))),"")</f>
        <v/>
      </c>
    </row>
    <row r="132" ht="15" customHeight="1" s="10">
      <c r="A132" s="9">
        <f>IFERROR(INDEX('All products'!$A$2:$A$107,MATCH(127,'All products'!$Q$2:$Q$107,0))&amp;"","")</f>
        <v/>
      </c>
      <c r="B132" s="9">
        <f>IFERROR(INDEX('All products'!$B$2:$B$107,MATCH(127,'All products'!$Q$2:$Q$107,0))&amp;"","")</f>
        <v/>
      </c>
      <c r="C132" s="9">
        <f>IFERROR(INDEX('All products'!$C$2:$C$107,MATCH(127,'All products'!$Q$2:$Q$107,0))&amp;"","")</f>
        <v/>
      </c>
      <c r="D132" s="9">
        <f>IFERROR(INDEX('All products'!$D$2:$D$107,MATCH(127,'All products'!$Q$2:$Q$107,0))&amp;"","")</f>
        <v/>
      </c>
      <c r="E132" s="9">
        <f>IFERROR(INDEX('All products'!$E$2:$E$107,MATCH(127,'All products'!$Q$2:$Q$107,0))&amp;"","")</f>
        <v/>
      </c>
      <c r="F132" s="9">
        <f>IFERROR(INDEX('All products'!$F$2:$F$107,MATCH(127,'All products'!$Q$2:$Q$107,0))&amp;"","")</f>
        <v/>
      </c>
      <c r="G132" s="9">
        <f>IFERROR(INDEX('All products'!$G$2:$G$107,MATCH(127,'All products'!$Q$2:$Q$107,0))&amp;"","")</f>
        <v/>
      </c>
      <c r="H132" s="9">
        <f>IFERROR(INDEX('All products'!$H$2:$H$107,MATCH(127,'All products'!$Q$2:$Q$107,0))&amp;"","")</f>
        <v/>
      </c>
      <c r="I132" s="9">
        <f>IFERROR(INDEX('All products'!$I$2:$I$107,MATCH(127,'All products'!$Q$2:$Q$107,0))&amp;"","")</f>
        <v/>
      </c>
      <c r="J132" s="9">
        <f>IFERROR(INDEX('All products'!$J$2:$J$107,MATCH(127,'All products'!$Q$2:$Q$107,0))&amp;"","")</f>
        <v/>
      </c>
      <c r="K132" s="9">
        <f>IFERROR(INDEX('All products'!$K$2:$K$107,MATCH(127,'All products'!$Q$2:$Q$107,0))&amp;"","")</f>
        <v/>
      </c>
      <c r="L132" s="9">
        <f>IFERROR(INDEX('All products'!$L$2:$L$107,MATCH(127,'All products'!$Q$2:$Q$107,0))&amp;"","")</f>
        <v/>
      </c>
      <c r="M132" s="9">
        <f>IFERROR(INDEX('All products'!$M$2:$M$107,MATCH(127,'All products'!$Q$2:$Q$107,0))&amp;"","")</f>
        <v/>
      </c>
      <c r="N132" s="9">
        <f>IFERROR(INDEX('All products'!$N$2:$N$107,MATCH(127,'All products'!$Q$2:$Q$107,0))&amp;"","")</f>
        <v/>
      </c>
      <c r="O132" s="9">
        <f>IFERROR(HYPERLINK(INDEX('All products'!$O$2:$O$107,MATCH(127,'All products'!$Q$2:$Q$107,0))),"")</f>
        <v/>
      </c>
    </row>
    <row r="133" ht="15" customHeight="1" s="10">
      <c r="A133" s="9">
        <f>IFERROR(INDEX('All products'!$A$2:$A$107,MATCH(128,'All products'!$Q$2:$Q$107,0))&amp;"","")</f>
        <v/>
      </c>
      <c r="B133" s="9">
        <f>IFERROR(INDEX('All products'!$B$2:$B$107,MATCH(128,'All products'!$Q$2:$Q$107,0))&amp;"","")</f>
        <v/>
      </c>
      <c r="C133" s="9">
        <f>IFERROR(INDEX('All products'!$C$2:$C$107,MATCH(128,'All products'!$Q$2:$Q$107,0))&amp;"","")</f>
        <v/>
      </c>
      <c r="D133" s="9">
        <f>IFERROR(INDEX('All products'!$D$2:$D$107,MATCH(128,'All products'!$Q$2:$Q$107,0))&amp;"","")</f>
        <v/>
      </c>
      <c r="E133" s="9">
        <f>IFERROR(INDEX('All products'!$E$2:$E$107,MATCH(128,'All products'!$Q$2:$Q$107,0))&amp;"","")</f>
        <v/>
      </c>
      <c r="F133" s="9">
        <f>IFERROR(INDEX('All products'!$F$2:$F$107,MATCH(128,'All products'!$Q$2:$Q$107,0))&amp;"","")</f>
        <v/>
      </c>
      <c r="G133" s="9">
        <f>IFERROR(INDEX('All products'!$G$2:$G$107,MATCH(128,'All products'!$Q$2:$Q$107,0))&amp;"","")</f>
        <v/>
      </c>
      <c r="H133" s="9">
        <f>IFERROR(INDEX('All products'!$H$2:$H$107,MATCH(128,'All products'!$Q$2:$Q$107,0))&amp;"","")</f>
        <v/>
      </c>
      <c r="I133" s="9">
        <f>IFERROR(INDEX('All products'!$I$2:$I$107,MATCH(128,'All products'!$Q$2:$Q$107,0))&amp;"","")</f>
        <v/>
      </c>
      <c r="J133" s="9">
        <f>IFERROR(INDEX('All products'!$J$2:$J$107,MATCH(128,'All products'!$Q$2:$Q$107,0))&amp;"","")</f>
        <v/>
      </c>
      <c r="K133" s="9">
        <f>IFERROR(INDEX('All products'!$K$2:$K$107,MATCH(128,'All products'!$Q$2:$Q$107,0))&amp;"","")</f>
        <v/>
      </c>
      <c r="L133" s="9">
        <f>IFERROR(INDEX('All products'!$L$2:$L$107,MATCH(128,'All products'!$Q$2:$Q$107,0))&amp;"","")</f>
        <v/>
      </c>
      <c r="M133" s="9">
        <f>IFERROR(INDEX('All products'!$M$2:$M$107,MATCH(128,'All products'!$Q$2:$Q$107,0))&amp;"","")</f>
        <v/>
      </c>
      <c r="N133" s="9">
        <f>IFERROR(INDEX('All products'!$N$2:$N$107,MATCH(128,'All products'!$Q$2:$Q$107,0))&amp;"","")</f>
        <v/>
      </c>
      <c r="O133" s="9">
        <f>IFERROR(HYPERLINK(INDEX('All products'!$O$2:$O$107,MATCH(128,'All products'!$Q$2:$Q$107,0))),"")</f>
        <v/>
      </c>
    </row>
    <row r="134" ht="15" customHeight="1" s="10">
      <c r="A134" s="9">
        <f>IFERROR(INDEX('All products'!$A$2:$A$107,MATCH(129,'All products'!$Q$2:$Q$107,0))&amp;"","")</f>
        <v/>
      </c>
      <c r="B134" s="9">
        <f>IFERROR(INDEX('All products'!$B$2:$B$107,MATCH(129,'All products'!$Q$2:$Q$107,0))&amp;"","")</f>
        <v/>
      </c>
      <c r="C134" s="9">
        <f>IFERROR(INDEX('All products'!$C$2:$C$107,MATCH(129,'All products'!$Q$2:$Q$107,0))&amp;"","")</f>
        <v/>
      </c>
      <c r="D134" s="9">
        <f>IFERROR(INDEX('All products'!$D$2:$D$107,MATCH(129,'All products'!$Q$2:$Q$107,0))&amp;"","")</f>
        <v/>
      </c>
      <c r="E134" s="9">
        <f>IFERROR(INDEX('All products'!$E$2:$E$107,MATCH(129,'All products'!$Q$2:$Q$107,0))&amp;"","")</f>
        <v/>
      </c>
      <c r="F134" s="9">
        <f>IFERROR(INDEX('All products'!$F$2:$F$107,MATCH(129,'All products'!$Q$2:$Q$107,0))&amp;"","")</f>
        <v/>
      </c>
      <c r="G134" s="9">
        <f>IFERROR(INDEX('All products'!$G$2:$G$107,MATCH(129,'All products'!$Q$2:$Q$107,0))&amp;"","")</f>
        <v/>
      </c>
      <c r="H134" s="9">
        <f>IFERROR(INDEX('All products'!$H$2:$H$107,MATCH(129,'All products'!$Q$2:$Q$107,0))&amp;"","")</f>
        <v/>
      </c>
      <c r="I134" s="9">
        <f>IFERROR(INDEX('All products'!$I$2:$I$107,MATCH(129,'All products'!$Q$2:$Q$107,0))&amp;"","")</f>
        <v/>
      </c>
      <c r="J134" s="9">
        <f>IFERROR(INDEX('All products'!$J$2:$J$107,MATCH(129,'All products'!$Q$2:$Q$107,0))&amp;"","")</f>
        <v/>
      </c>
      <c r="K134" s="9">
        <f>IFERROR(INDEX('All products'!$K$2:$K$107,MATCH(129,'All products'!$Q$2:$Q$107,0))&amp;"","")</f>
        <v/>
      </c>
      <c r="L134" s="9">
        <f>IFERROR(INDEX('All products'!$L$2:$L$107,MATCH(129,'All products'!$Q$2:$Q$107,0))&amp;"","")</f>
        <v/>
      </c>
      <c r="M134" s="9">
        <f>IFERROR(INDEX('All products'!$M$2:$M$107,MATCH(129,'All products'!$Q$2:$Q$107,0))&amp;"","")</f>
        <v/>
      </c>
      <c r="N134" s="9">
        <f>IFERROR(INDEX('All products'!$N$2:$N$107,MATCH(129,'All products'!$Q$2:$Q$107,0))&amp;"","")</f>
        <v/>
      </c>
      <c r="O134" s="9">
        <f>IFERROR(HYPERLINK(INDEX('All products'!$O$2:$O$107,MATCH(129,'All products'!$Q$2:$Q$107,0))),"")</f>
        <v/>
      </c>
    </row>
    <row r="135" ht="15" customHeight="1" s="10">
      <c r="A135" s="9">
        <f>IFERROR(INDEX('All products'!$A$2:$A$107,MATCH(130,'All products'!$Q$2:$Q$107,0))&amp;"","")</f>
        <v/>
      </c>
      <c r="B135" s="9">
        <f>IFERROR(INDEX('All products'!$B$2:$B$107,MATCH(130,'All products'!$Q$2:$Q$107,0))&amp;"","")</f>
        <v/>
      </c>
      <c r="C135" s="9">
        <f>IFERROR(INDEX('All products'!$C$2:$C$107,MATCH(130,'All products'!$Q$2:$Q$107,0))&amp;"","")</f>
        <v/>
      </c>
      <c r="D135" s="9">
        <f>IFERROR(INDEX('All products'!$D$2:$D$107,MATCH(130,'All products'!$Q$2:$Q$107,0))&amp;"","")</f>
        <v/>
      </c>
      <c r="E135" s="9">
        <f>IFERROR(INDEX('All products'!$E$2:$E$107,MATCH(130,'All products'!$Q$2:$Q$107,0))&amp;"","")</f>
        <v/>
      </c>
      <c r="F135" s="9">
        <f>IFERROR(INDEX('All products'!$F$2:$F$107,MATCH(130,'All products'!$Q$2:$Q$107,0))&amp;"","")</f>
        <v/>
      </c>
      <c r="G135" s="9">
        <f>IFERROR(INDEX('All products'!$G$2:$G$107,MATCH(130,'All products'!$Q$2:$Q$107,0))&amp;"","")</f>
        <v/>
      </c>
      <c r="H135" s="9">
        <f>IFERROR(INDEX('All products'!$H$2:$H$107,MATCH(130,'All products'!$Q$2:$Q$107,0))&amp;"","")</f>
        <v/>
      </c>
      <c r="I135" s="9">
        <f>IFERROR(INDEX('All products'!$I$2:$I$107,MATCH(130,'All products'!$Q$2:$Q$107,0))&amp;"","")</f>
        <v/>
      </c>
      <c r="J135" s="9">
        <f>IFERROR(INDEX('All products'!$J$2:$J$107,MATCH(130,'All products'!$Q$2:$Q$107,0))&amp;"","")</f>
        <v/>
      </c>
      <c r="K135" s="9">
        <f>IFERROR(INDEX('All products'!$K$2:$K$107,MATCH(130,'All products'!$Q$2:$Q$107,0))&amp;"","")</f>
        <v/>
      </c>
      <c r="L135" s="9">
        <f>IFERROR(INDEX('All products'!$L$2:$L$107,MATCH(130,'All products'!$Q$2:$Q$107,0))&amp;"","")</f>
        <v/>
      </c>
      <c r="M135" s="9">
        <f>IFERROR(INDEX('All products'!$M$2:$M$107,MATCH(130,'All products'!$Q$2:$Q$107,0))&amp;"","")</f>
        <v/>
      </c>
      <c r="N135" s="9">
        <f>IFERROR(INDEX('All products'!$N$2:$N$107,MATCH(130,'All products'!$Q$2:$Q$107,0))&amp;"","")</f>
        <v/>
      </c>
      <c r="O135" s="9">
        <f>IFERROR(HYPERLINK(INDEX('All products'!$O$2:$O$107,MATCH(130,'All products'!$Q$2:$Q$107,0))),"")</f>
        <v/>
      </c>
    </row>
    <row r="136" ht="15" customHeight="1" s="10">
      <c r="A136" s="9">
        <f>IFERROR(INDEX('All products'!$A$2:$A$107,MATCH(131,'All products'!$Q$2:$Q$107,0))&amp;"","")</f>
        <v/>
      </c>
      <c r="B136" s="9">
        <f>IFERROR(INDEX('All products'!$B$2:$B$107,MATCH(131,'All products'!$Q$2:$Q$107,0))&amp;"","")</f>
        <v/>
      </c>
      <c r="C136" s="9">
        <f>IFERROR(INDEX('All products'!$C$2:$C$107,MATCH(131,'All products'!$Q$2:$Q$107,0))&amp;"","")</f>
        <v/>
      </c>
      <c r="D136" s="9">
        <f>IFERROR(INDEX('All products'!$D$2:$D$107,MATCH(131,'All products'!$Q$2:$Q$107,0))&amp;"","")</f>
        <v/>
      </c>
      <c r="E136" s="9">
        <f>IFERROR(INDEX('All products'!$E$2:$E$107,MATCH(131,'All products'!$Q$2:$Q$107,0))&amp;"","")</f>
        <v/>
      </c>
      <c r="F136" s="9">
        <f>IFERROR(INDEX('All products'!$F$2:$F$107,MATCH(131,'All products'!$Q$2:$Q$107,0))&amp;"","")</f>
        <v/>
      </c>
      <c r="G136" s="9">
        <f>IFERROR(INDEX('All products'!$G$2:$G$107,MATCH(131,'All products'!$Q$2:$Q$107,0))&amp;"","")</f>
        <v/>
      </c>
      <c r="H136" s="9">
        <f>IFERROR(INDEX('All products'!$H$2:$H$107,MATCH(131,'All products'!$Q$2:$Q$107,0))&amp;"","")</f>
        <v/>
      </c>
      <c r="I136" s="9">
        <f>IFERROR(INDEX('All products'!$I$2:$I$107,MATCH(131,'All products'!$Q$2:$Q$107,0))&amp;"","")</f>
        <v/>
      </c>
      <c r="J136" s="9">
        <f>IFERROR(INDEX('All products'!$J$2:$J$107,MATCH(131,'All products'!$Q$2:$Q$107,0))&amp;"","")</f>
        <v/>
      </c>
      <c r="K136" s="9">
        <f>IFERROR(INDEX('All products'!$K$2:$K$107,MATCH(131,'All products'!$Q$2:$Q$107,0))&amp;"","")</f>
        <v/>
      </c>
      <c r="L136" s="9">
        <f>IFERROR(INDEX('All products'!$L$2:$L$107,MATCH(131,'All products'!$Q$2:$Q$107,0))&amp;"","")</f>
        <v/>
      </c>
      <c r="M136" s="9">
        <f>IFERROR(INDEX('All products'!$M$2:$M$107,MATCH(131,'All products'!$Q$2:$Q$107,0))&amp;"","")</f>
        <v/>
      </c>
      <c r="N136" s="9">
        <f>IFERROR(INDEX('All products'!$N$2:$N$107,MATCH(131,'All products'!$Q$2:$Q$107,0))&amp;"","")</f>
        <v/>
      </c>
      <c r="O136" s="9">
        <f>IFERROR(HYPERLINK(INDEX('All products'!$O$2:$O$107,MATCH(131,'All products'!$Q$2:$Q$107,0))),"")</f>
        <v/>
      </c>
    </row>
    <row r="137" ht="15" customHeight="1" s="10">
      <c r="A137" s="9">
        <f>IFERROR(INDEX('All products'!$A$2:$A$107,MATCH(132,'All products'!$Q$2:$Q$107,0))&amp;"","")</f>
        <v/>
      </c>
      <c r="B137" s="9">
        <f>IFERROR(INDEX('All products'!$B$2:$B$107,MATCH(132,'All products'!$Q$2:$Q$107,0))&amp;"","")</f>
        <v/>
      </c>
      <c r="C137" s="9">
        <f>IFERROR(INDEX('All products'!$C$2:$C$107,MATCH(132,'All products'!$Q$2:$Q$107,0))&amp;"","")</f>
        <v/>
      </c>
      <c r="D137" s="9">
        <f>IFERROR(INDEX('All products'!$D$2:$D$107,MATCH(132,'All products'!$Q$2:$Q$107,0))&amp;"","")</f>
        <v/>
      </c>
      <c r="E137" s="9">
        <f>IFERROR(INDEX('All products'!$E$2:$E$107,MATCH(132,'All products'!$Q$2:$Q$107,0))&amp;"","")</f>
        <v/>
      </c>
      <c r="F137" s="9">
        <f>IFERROR(INDEX('All products'!$F$2:$F$107,MATCH(132,'All products'!$Q$2:$Q$107,0))&amp;"","")</f>
        <v/>
      </c>
      <c r="G137" s="9">
        <f>IFERROR(INDEX('All products'!$G$2:$G$107,MATCH(132,'All products'!$Q$2:$Q$107,0))&amp;"","")</f>
        <v/>
      </c>
      <c r="H137" s="9">
        <f>IFERROR(INDEX('All products'!$H$2:$H$107,MATCH(132,'All products'!$Q$2:$Q$107,0))&amp;"","")</f>
        <v/>
      </c>
      <c r="I137" s="9">
        <f>IFERROR(INDEX('All products'!$I$2:$I$107,MATCH(132,'All products'!$Q$2:$Q$107,0))&amp;"","")</f>
        <v/>
      </c>
      <c r="J137" s="9">
        <f>IFERROR(INDEX('All products'!$J$2:$J$107,MATCH(132,'All products'!$Q$2:$Q$107,0))&amp;"","")</f>
        <v/>
      </c>
      <c r="K137" s="9">
        <f>IFERROR(INDEX('All products'!$K$2:$K$107,MATCH(132,'All products'!$Q$2:$Q$107,0))&amp;"","")</f>
        <v/>
      </c>
      <c r="L137" s="9">
        <f>IFERROR(INDEX('All products'!$L$2:$L$107,MATCH(132,'All products'!$Q$2:$Q$107,0))&amp;"","")</f>
        <v/>
      </c>
      <c r="M137" s="9">
        <f>IFERROR(INDEX('All products'!$M$2:$M$107,MATCH(132,'All products'!$Q$2:$Q$107,0))&amp;"","")</f>
        <v/>
      </c>
      <c r="N137" s="9">
        <f>IFERROR(INDEX('All products'!$N$2:$N$107,MATCH(132,'All products'!$Q$2:$Q$107,0))&amp;"","")</f>
        <v/>
      </c>
      <c r="O137" s="9">
        <f>IFERROR(HYPERLINK(INDEX('All products'!$O$2:$O$107,MATCH(132,'All products'!$Q$2:$Q$107,0))),"")</f>
        <v/>
      </c>
    </row>
    <row r="138" ht="15" customHeight="1" s="10">
      <c r="A138" s="9">
        <f>IFERROR(INDEX('All products'!$A$2:$A$107,MATCH(133,'All products'!$Q$2:$Q$107,0))&amp;"","")</f>
        <v/>
      </c>
      <c r="B138" s="9">
        <f>IFERROR(INDEX('All products'!$B$2:$B$107,MATCH(133,'All products'!$Q$2:$Q$107,0))&amp;"","")</f>
        <v/>
      </c>
      <c r="C138" s="9">
        <f>IFERROR(INDEX('All products'!$C$2:$C$107,MATCH(133,'All products'!$Q$2:$Q$107,0))&amp;"","")</f>
        <v/>
      </c>
      <c r="D138" s="9">
        <f>IFERROR(INDEX('All products'!$D$2:$D$107,MATCH(133,'All products'!$Q$2:$Q$107,0))&amp;"","")</f>
        <v/>
      </c>
      <c r="E138" s="9">
        <f>IFERROR(INDEX('All products'!$E$2:$E$107,MATCH(133,'All products'!$Q$2:$Q$107,0))&amp;"","")</f>
        <v/>
      </c>
      <c r="F138" s="9">
        <f>IFERROR(INDEX('All products'!$F$2:$F$107,MATCH(133,'All products'!$Q$2:$Q$107,0))&amp;"","")</f>
        <v/>
      </c>
      <c r="G138" s="9">
        <f>IFERROR(INDEX('All products'!$G$2:$G$107,MATCH(133,'All products'!$Q$2:$Q$107,0))&amp;"","")</f>
        <v/>
      </c>
      <c r="H138" s="9">
        <f>IFERROR(INDEX('All products'!$H$2:$H$107,MATCH(133,'All products'!$Q$2:$Q$107,0))&amp;"","")</f>
        <v/>
      </c>
      <c r="I138" s="9">
        <f>IFERROR(INDEX('All products'!$I$2:$I$107,MATCH(133,'All products'!$Q$2:$Q$107,0))&amp;"","")</f>
        <v/>
      </c>
      <c r="J138" s="9">
        <f>IFERROR(INDEX('All products'!$J$2:$J$107,MATCH(133,'All products'!$Q$2:$Q$107,0))&amp;"","")</f>
        <v/>
      </c>
      <c r="K138" s="9">
        <f>IFERROR(INDEX('All products'!$K$2:$K$107,MATCH(133,'All products'!$Q$2:$Q$107,0))&amp;"","")</f>
        <v/>
      </c>
      <c r="L138" s="9">
        <f>IFERROR(INDEX('All products'!$L$2:$L$107,MATCH(133,'All products'!$Q$2:$Q$107,0))&amp;"","")</f>
        <v/>
      </c>
      <c r="M138" s="9">
        <f>IFERROR(INDEX('All products'!$M$2:$M$107,MATCH(133,'All products'!$Q$2:$Q$107,0))&amp;"","")</f>
        <v/>
      </c>
      <c r="N138" s="9">
        <f>IFERROR(INDEX('All products'!$N$2:$N$107,MATCH(133,'All products'!$Q$2:$Q$107,0))&amp;"","")</f>
        <v/>
      </c>
      <c r="O138" s="9">
        <f>IFERROR(HYPERLINK(INDEX('All products'!$O$2:$O$107,MATCH(133,'All products'!$Q$2:$Q$107,0))),"")</f>
        <v/>
      </c>
    </row>
    <row r="139" ht="15" customHeight="1" s="10">
      <c r="A139" s="9">
        <f>IFERROR(INDEX('All products'!$A$2:$A$107,MATCH(134,'All products'!$Q$2:$Q$107,0))&amp;"","")</f>
        <v/>
      </c>
      <c r="B139" s="9">
        <f>IFERROR(INDEX('All products'!$B$2:$B$107,MATCH(134,'All products'!$Q$2:$Q$107,0))&amp;"","")</f>
        <v/>
      </c>
      <c r="C139" s="9">
        <f>IFERROR(INDEX('All products'!$C$2:$C$107,MATCH(134,'All products'!$Q$2:$Q$107,0))&amp;"","")</f>
        <v/>
      </c>
      <c r="D139" s="9">
        <f>IFERROR(INDEX('All products'!$D$2:$D$107,MATCH(134,'All products'!$Q$2:$Q$107,0))&amp;"","")</f>
        <v/>
      </c>
      <c r="E139" s="9">
        <f>IFERROR(INDEX('All products'!$E$2:$E$107,MATCH(134,'All products'!$Q$2:$Q$107,0))&amp;"","")</f>
        <v/>
      </c>
      <c r="F139" s="9">
        <f>IFERROR(INDEX('All products'!$F$2:$F$107,MATCH(134,'All products'!$Q$2:$Q$107,0))&amp;"","")</f>
        <v/>
      </c>
      <c r="G139" s="9">
        <f>IFERROR(INDEX('All products'!$G$2:$G$107,MATCH(134,'All products'!$Q$2:$Q$107,0))&amp;"","")</f>
        <v/>
      </c>
      <c r="H139" s="9">
        <f>IFERROR(INDEX('All products'!$H$2:$H$107,MATCH(134,'All products'!$Q$2:$Q$107,0))&amp;"","")</f>
        <v/>
      </c>
      <c r="I139" s="9">
        <f>IFERROR(INDEX('All products'!$I$2:$I$107,MATCH(134,'All products'!$Q$2:$Q$107,0))&amp;"","")</f>
        <v/>
      </c>
      <c r="J139" s="9">
        <f>IFERROR(INDEX('All products'!$J$2:$J$107,MATCH(134,'All products'!$Q$2:$Q$107,0))&amp;"","")</f>
        <v/>
      </c>
      <c r="K139" s="9">
        <f>IFERROR(INDEX('All products'!$K$2:$K$107,MATCH(134,'All products'!$Q$2:$Q$107,0))&amp;"","")</f>
        <v/>
      </c>
      <c r="L139" s="9">
        <f>IFERROR(INDEX('All products'!$L$2:$L$107,MATCH(134,'All products'!$Q$2:$Q$107,0))&amp;"","")</f>
        <v/>
      </c>
      <c r="M139" s="9">
        <f>IFERROR(INDEX('All products'!$M$2:$M$107,MATCH(134,'All products'!$Q$2:$Q$107,0))&amp;"","")</f>
        <v/>
      </c>
      <c r="N139" s="9">
        <f>IFERROR(INDEX('All products'!$N$2:$N$107,MATCH(134,'All products'!$Q$2:$Q$107,0))&amp;"","")</f>
        <v/>
      </c>
      <c r="O139" s="9">
        <f>IFERROR(HYPERLINK(INDEX('All products'!$O$2:$O$107,MATCH(134,'All products'!$Q$2:$Q$107,0))),"")</f>
        <v/>
      </c>
    </row>
    <row r="140" ht="15" customHeight="1" s="10">
      <c r="A140" s="9">
        <f>IFERROR(INDEX('All products'!$A$2:$A$107,MATCH(135,'All products'!$Q$2:$Q$107,0))&amp;"","")</f>
        <v/>
      </c>
      <c r="B140" s="9">
        <f>IFERROR(INDEX('All products'!$B$2:$B$107,MATCH(135,'All products'!$Q$2:$Q$107,0))&amp;"","")</f>
        <v/>
      </c>
      <c r="C140" s="9">
        <f>IFERROR(INDEX('All products'!$C$2:$C$107,MATCH(135,'All products'!$Q$2:$Q$107,0))&amp;"","")</f>
        <v/>
      </c>
      <c r="D140" s="9">
        <f>IFERROR(INDEX('All products'!$D$2:$D$107,MATCH(135,'All products'!$Q$2:$Q$107,0))&amp;"","")</f>
        <v/>
      </c>
      <c r="E140" s="9">
        <f>IFERROR(INDEX('All products'!$E$2:$E$107,MATCH(135,'All products'!$Q$2:$Q$107,0))&amp;"","")</f>
        <v/>
      </c>
      <c r="F140" s="9">
        <f>IFERROR(INDEX('All products'!$F$2:$F$107,MATCH(135,'All products'!$Q$2:$Q$107,0))&amp;"","")</f>
        <v/>
      </c>
      <c r="G140" s="9">
        <f>IFERROR(INDEX('All products'!$G$2:$G$107,MATCH(135,'All products'!$Q$2:$Q$107,0))&amp;"","")</f>
        <v/>
      </c>
      <c r="H140" s="9">
        <f>IFERROR(INDEX('All products'!$H$2:$H$107,MATCH(135,'All products'!$Q$2:$Q$107,0))&amp;"","")</f>
        <v/>
      </c>
      <c r="I140" s="9">
        <f>IFERROR(INDEX('All products'!$I$2:$I$107,MATCH(135,'All products'!$Q$2:$Q$107,0))&amp;"","")</f>
        <v/>
      </c>
      <c r="J140" s="9">
        <f>IFERROR(INDEX('All products'!$J$2:$J$107,MATCH(135,'All products'!$Q$2:$Q$107,0))&amp;"","")</f>
        <v/>
      </c>
      <c r="K140" s="9">
        <f>IFERROR(INDEX('All products'!$K$2:$K$107,MATCH(135,'All products'!$Q$2:$Q$107,0))&amp;"","")</f>
        <v/>
      </c>
      <c r="L140" s="9">
        <f>IFERROR(INDEX('All products'!$L$2:$L$107,MATCH(135,'All products'!$Q$2:$Q$107,0))&amp;"","")</f>
        <v/>
      </c>
      <c r="M140" s="9">
        <f>IFERROR(INDEX('All products'!$M$2:$M$107,MATCH(135,'All products'!$Q$2:$Q$107,0))&amp;"","")</f>
        <v/>
      </c>
      <c r="N140" s="9">
        <f>IFERROR(INDEX('All products'!$N$2:$N$107,MATCH(135,'All products'!$Q$2:$Q$107,0))&amp;"","")</f>
        <v/>
      </c>
      <c r="O140" s="9">
        <f>IFERROR(HYPERLINK(INDEX('All products'!$O$2:$O$107,MATCH(135,'All products'!$Q$2:$Q$107,0))),"")</f>
        <v/>
      </c>
    </row>
    <row r="141" ht="15" customHeight="1" s="10">
      <c r="A141" s="9">
        <f>IFERROR(INDEX('All products'!$A$2:$A$107,MATCH(136,'All products'!$Q$2:$Q$107,0))&amp;"","")</f>
        <v/>
      </c>
      <c r="B141" s="9">
        <f>IFERROR(INDEX('All products'!$B$2:$B$107,MATCH(136,'All products'!$Q$2:$Q$107,0))&amp;"","")</f>
        <v/>
      </c>
      <c r="C141" s="9">
        <f>IFERROR(INDEX('All products'!$C$2:$C$107,MATCH(136,'All products'!$Q$2:$Q$107,0))&amp;"","")</f>
        <v/>
      </c>
      <c r="D141" s="9">
        <f>IFERROR(INDEX('All products'!$D$2:$D$107,MATCH(136,'All products'!$Q$2:$Q$107,0))&amp;"","")</f>
        <v/>
      </c>
      <c r="E141" s="9">
        <f>IFERROR(INDEX('All products'!$E$2:$E$107,MATCH(136,'All products'!$Q$2:$Q$107,0))&amp;"","")</f>
        <v/>
      </c>
      <c r="F141" s="9">
        <f>IFERROR(INDEX('All products'!$F$2:$F$107,MATCH(136,'All products'!$Q$2:$Q$107,0))&amp;"","")</f>
        <v/>
      </c>
      <c r="G141" s="9">
        <f>IFERROR(INDEX('All products'!$G$2:$G$107,MATCH(136,'All products'!$Q$2:$Q$107,0))&amp;"","")</f>
        <v/>
      </c>
      <c r="H141" s="9">
        <f>IFERROR(INDEX('All products'!$H$2:$H$107,MATCH(136,'All products'!$Q$2:$Q$107,0))&amp;"","")</f>
        <v/>
      </c>
      <c r="I141" s="9">
        <f>IFERROR(INDEX('All products'!$I$2:$I$107,MATCH(136,'All products'!$Q$2:$Q$107,0))&amp;"","")</f>
        <v/>
      </c>
      <c r="J141" s="9">
        <f>IFERROR(INDEX('All products'!$J$2:$J$107,MATCH(136,'All products'!$Q$2:$Q$107,0))&amp;"","")</f>
        <v/>
      </c>
      <c r="K141" s="9">
        <f>IFERROR(INDEX('All products'!$K$2:$K$107,MATCH(136,'All products'!$Q$2:$Q$107,0))&amp;"","")</f>
        <v/>
      </c>
      <c r="L141" s="9">
        <f>IFERROR(INDEX('All products'!$L$2:$L$107,MATCH(136,'All products'!$Q$2:$Q$107,0))&amp;"","")</f>
        <v/>
      </c>
      <c r="M141" s="9">
        <f>IFERROR(INDEX('All products'!$M$2:$M$107,MATCH(136,'All products'!$Q$2:$Q$107,0))&amp;"","")</f>
        <v/>
      </c>
      <c r="N141" s="9">
        <f>IFERROR(INDEX('All products'!$N$2:$N$107,MATCH(136,'All products'!$Q$2:$Q$107,0))&amp;"","")</f>
        <v/>
      </c>
      <c r="O141" s="9">
        <f>IFERROR(HYPERLINK(INDEX('All products'!$O$2:$O$107,MATCH(136,'All products'!$Q$2:$Q$107,0))),"")</f>
        <v/>
      </c>
    </row>
    <row r="142" ht="15" customHeight="1" s="10">
      <c r="A142" s="9">
        <f>IFERROR(INDEX('All products'!$A$2:$A$107,MATCH(137,'All products'!$Q$2:$Q$107,0))&amp;"","")</f>
        <v/>
      </c>
      <c r="B142" s="9">
        <f>IFERROR(INDEX('All products'!$B$2:$B$107,MATCH(137,'All products'!$Q$2:$Q$107,0))&amp;"","")</f>
        <v/>
      </c>
      <c r="C142" s="9">
        <f>IFERROR(INDEX('All products'!$C$2:$C$107,MATCH(137,'All products'!$Q$2:$Q$107,0))&amp;"","")</f>
        <v/>
      </c>
      <c r="D142" s="9">
        <f>IFERROR(INDEX('All products'!$D$2:$D$107,MATCH(137,'All products'!$Q$2:$Q$107,0))&amp;"","")</f>
        <v/>
      </c>
      <c r="E142" s="9">
        <f>IFERROR(INDEX('All products'!$E$2:$E$107,MATCH(137,'All products'!$Q$2:$Q$107,0))&amp;"","")</f>
        <v/>
      </c>
      <c r="F142" s="9">
        <f>IFERROR(INDEX('All products'!$F$2:$F$107,MATCH(137,'All products'!$Q$2:$Q$107,0))&amp;"","")</f>
        <v/>
      </c>
      <c r="G142" s="9">
        <f>IFERROR(INDEX('All products'!$G$2:$G$107,MATCH(137,'All products'!$Q$2:$Q$107,0))&amp;"","")</f>
        <v/>
      </c>
      <c r="H142" s="9">
        <f>IFERROR(INDEX('All products'!$H$2:$H$107,MATCH(137,'All products'!$Q$2:$Q$107,0))&amp;"","")</f>
        <v/>
      </c>
      <c r="I142" s="9">
        <f>IFERROR(INDEX('All products'!$I$2:$I$107,MATCH(137,'All products'!$Q$2:$Q$107,0))&amp;"","")</f>
        <v/>
      </c>
      <c r="J142" s="9">
        <f>IFERROR(INDEX('All products'!$J$2:$J$107,MATCH(137,'All products'!$Q$2:$Q$107,0))&amp;"","")</f>
        <v/>
      </c>
      <c r="K142" s="9">
        <f>IFERROR(INDEX('All products'!$K$2:$K$107,MATCH(137,'All products'!$Q$2:$Q$107,0))&amp;"","")</f>
        <v/>
      </c>
      <c r="L142" s="9">
        <f>IFERROR(INDEX('All products'!$L$2:$L$107,MATCH(137,'All products'!$Q$2:$Q$107,0))&amp;"","")</f>
        <v/>
      </c>
      <c r="M142" s="9">
        <f>IFERROR(INDEX('All products'!$M$2:$M$107,MATCH(137,'All products'!$Q$2:$Q$107,0))&amp;"","")</f>
        <v/>
      </c>
      <c r="N142" s="9">
        <f>IFERROR(INDEX('All products'!$N$2:$N$107,MATCH(137,'All products'!$Q$2:$Q$107,0))&amp;"","")</f>
        <v/>
      </c>
      <c r="O142" s="9">
        <f>IFERROR(HYPERLINK(INDEX('All products'!$O$2:$O$107,MATCH(137,'All products'!$Q$2:$Q$107,0))),"")</f>
        <v/>
      </c>
    </row>
    <row r="143" ht="15" customHeight="1" s="10">
      <c r="A143" s="9">
        <f>IFERROR(INDEX('All products'!$A$2:$A$107,MATCH(138,'All products'!$Q$2:$Q$107,0))&amp;"","")</f>
        <v/>
      </c>
      <c r="B143" s="9">
        <f>IFERROR(INDEX('All products'!$B$2:$B$107,MATCH(138,'All products'!$Q$2:$Q$107,0))&amp;"","")</f>
        <v/>
      </c>
      <c r="C143" s="9">
        <f>IFERROR(INDEX('All products'!$C$2:$C$107,MATCH(138,'All products'!$Q$2:$Q$107,0))&amp;"","")</f>
        <v/>
      </c>
      <c r="D143" s="9">
        <f>IFERROR(INDEX('All products'!$D$2:$D$107,MATCH(138,'All products'!$Q$2:$Q$107,0))&amp;"","")</f>
        <v/>
      </c>
      <c r="E143" s="9">
        <f>IFERROR(INDEX('All products'!$E$2:$E$107,MATCH(138,'All products'!$Q$2:$Q$107,0))&amp;"","")</f>
        <v/>
      </c>
      <c r="F143" s="9">
        <f>IFERROR(INDEX('All products'!$F$2:$F$107,MATCH(138,'All products'!$Q$2:$Q$107,0))&amp;"","")</f>
        <v/>
      </c>
      <c r="G143" s="9">
        <f>IFERROR(INDEX('All products'!$G$2:$G$107,MATCH(138,'All products'!$Q$2:$Q$107,0))&amp;"","")</f>
        <v/>
      </c>
      <c r="H143" s="9">
        <f>IFERROR(INDEX('All products'!$H$2:$H$107,MATCH(138,'All products'!$Q$2:$Q$107,0))&amp;"","")</f>
        <v/>
      </c>
      <c r="I143" s="9">
        <f>IFERROR(INDEX('All products'!$I$2:$I$107,MATCH(138,'All products'!$Q$2:$Q$107,0))&amp;"","")</f>
        <v/>
      </c>
      <c r="J143" s="9">
        <f>IFERROR(INDEX('All products'!$J$2:$J$107,MATCH(138,'All products'!$Q$2:$Q$107,0))&amp;"","")</f>
        <v/>
      </c>
      <c r="K143" s="9">
        <f>IFERROR(INDEX('All products'!$K$2:$K$107,MATCH(138,'All products'!$Q$2:$Q$107,0))&amp;"","")</f>
        <v/>
      </c>
      <c r="L143" s="9">
        <f>IFERROR(INDEX('All products'!$L$2:$L$107,MATCH(138,'All products'!$Q$2:$Q$107,0))&amp;"","")</f>
        <v/>
      </c>
      <c r="M143" s="9">
        <f>IFERROR(INDEX('All products'!$M$2:$M$107,MATCH(138,'All products'!$Q$2:$Q$107,0))&amp;"","")</f>
        <v/>
      </c>
      <c r="N143" s="9">
        <f>IFERROR(INDEX('All products'!$N$2:$N$107,MATCH(138,'All products'!$Q$2:$Q$107,0))&amp;"","")</f>
        <v/>
      </c>
      <c r="O143" s="9">
        <f>IFERROR(HYPERLINK(INDEX('All products'!$O$2:$O$107,MATCH(138,'All products'!$Q$2:$Q$107,0))),"")</f>
        <v/>
      </c>
    </row>
    <row r="144" ht="15" customHeight="1" s="10">
      <c r="A144" s="9">
        <f>IFERROR(INDEX('All products'!$A$2:$A$107,MATCH(139,'All products'!$Q$2:$Q$107,0))&amp;"","")</f>
        <v/>
      </c>
      <c r="B144" s="9">
        <f>IFERROR(INDEX('All products'!$B$2:$B$107,MATCH(139,'All products'!$Q$2:$Q$107,0))&amp;"","")</f>
        <v/>
      </c>
      <c r="C144" s="9">
        <f>IFERROR(INDEX('All products'!$C$2:$C$107,MATCH(139,'All products'!$Q$2:$Q$107,0))&amp;"","")</f>
        <v/>
      </c>
      <c r="D144" s="9">
        <f>IFERROR(INDEX('All products'!$D$2:$D$107,MATCH(139,'All products'!$Q$2:$Q$107,0))&amp;"","")</f>
        <v/>
      </c>
      <c r="E144" s="9">
        <f>IFERROR(INDEX('All products'!$E$2:$E$107,MATCH(139,'All products'!$Q$2:$Q$107,0))&amp;"","")</f>
        <v/>
      </c>
      <c r="F144" s="9">
        <f>IFERROR(INDEX('All products'!$F$2:$F$107,MATCH(139,'All products'!$Q$2:$Q$107,0))&amp;"","")</f>
        <v/>
      </c>
      <c r="G144" s="9">
        <f>IFERROR(INDEX('All products'!$G$2:$G$107,MATCH(139,'All products'!$Q$2:$Q$107,0))&amp;"","")</f>
        <v/>
      </c>
      <c r="H144" s="9">
        <f>IFERROR(INDEX('All products'!$H$2:$H$107,MATCH(139,'All products'!$Q$2:$Q$107,0))&amp;"","")</f>
        <v/>
      </c>
      <c r="I144" s="9">
        <f>IFERROR(INDEX('All products'!$I$2:$I$107,MATCH(139,'All products'!$Q$2:$Q$107,0))&amp;"","")</f>
        <v/>
      </c>
      <c r="J144" s="9">
        <f>IFERROR(INDEX('All products'!$J$2:$J$107,MATCH(139,'All products'!$Q$2:$Q$107,0))&amp;"","")</f>
        <v/>
      </c>
      <c r="K144" s="9">
        <f>IFERROR(INDEX('All products'!$K$2:$K$107,MATCH(139,'All products'!$Q$2:$Q$107,0))&amp;"","")</f>
        <v/>
      </c>
      <c r="L144" s="9">
        <f>IFERROR(INDEX('All products'!$L$2:$L$107,MATCH(139,'All products'!$Q$2:$Q$107,0))&amp;"","")</f>
        <v/>
      </c>
      <c r="M144" s="9">
        <f>IFERROR(INDEX('All products'!$M$2:$M$107,MATCH(139,'All products'!$Q$2:$Q$107,0))&amp;"","")</f>
        <v/>
      </c>
      <c r="N144" s="9">
        <f>IFERROR(INDEX('All products'!$N$2:$N$107,MATCH(139,'All products'!$Q$2:$Q$107,0))&amp;"","")</f>
        <v/>
      </c>
      <c r="O144" s="9">
        <f>IFERROR(HYPERLINK(INDEX('All products'!$O$2:$O$107,MATCH(139,'All products'!$Q$2:$Q$107,0))),"")</f>
        <v/>
      </c>
    </row>
    <row r="145" ht="15" customHeight="1" s="10">
      <c r="A145" s="9">
        <f>IFERROR(INDEX('All products'!$A$2:$A$107,MATCH(140,'All products'!$Q$2:$Q$107,0))&amp;"","")</f>
        <v/>
      </c>
      <c r="B145" s="9">
        <f>IFERROR(INDEX('All products'!$B$2:$B$107,MATCH(140,'All products'!$Q$2:$Q$107,0))&amp;"","")</f>
        <v/>
      </c>
      <c r="C145" s="9">
        <f>IFERROR(INDEX('All products'!$C$2:$C$107,MATCH(140,'All products'!$Q$2:$Q$107,0))&amp;"","")</f>
        <v/>
      </c>
      <c r="D145" s="9">
        <f>IFERROR(INDEX('All products'!$D$2:$D$107,MATCH(140,'All products'!$Q$2:$Q$107,0))&amp;"","")</f>
        <v/>
      </c>
      <c r="E145" s="9">
        <f>IFERROR(INDEX('All products'!$E$2:$E$107,MATCH(140,'All products'!$Q$2:$Q$107,0))&amp;"","")</f>
        <v/>
      </c>
      <c r="F145" s="9">
        <f>IFERROR(INDEX('All products'!$F$2:$F$107,MATCH(140,'All products'!$Q$2:$Q$107,0))&amp;"","")</f>
        <v/>
      </c>
      <c r="G145" s="9">
        <f>IFERROR(INDEX('All products'!$G$2:$G$107,MATCH(140,'All products'!$Q$2:$Q$107,0))&amp;"","")</f>
        <v/>
      </c>
      <c r="H145" s="9">
        <f>IFERROR(INDEX('All products'!$H$2:$H$107,MATCH(140,'All products'!$Q$2:$Q$107,0))&amp;"","")</f>
        <v/>
      </c>
      <c r="I145" s="9">
        <f>IFERROR(INDEX('All products'!$I$2:$I$107,MATCH(140,'All products'!$Q$2:$Q$107,0))&amp;"","")</f>
        <v/>
      </c>
      <c r="J145" s="9">
        <f>IFERROR(INDEX('All products'!$J$2:$J$107,MATCH(140,'All products'!$Q$2:$Q$107,0))&amp;"","")</f>
        <v/>
      </c>
      <c r="K145" s="9">
        <f>IFERROR(INDEX('All products'!$K$2:$K$107,MATCH(140,'All products'!$Q$2:$Q$107,0))&amp;"","")</f>
        <v/>
      </c>
      <c r="L145" s="9">
        <f>IFERROR(INDEX('All products'!$L$2:$L$107,MATCH(140,'All products'!$Q$2:$Q$107,0))&amp;"","")</f>
        <v/>
      </c>
      <c r="M145" s="9">
        <f>IFERROR(INDEX('All products'!$M$2:$M$107,MATCH(140,'All products'!$Q$2:$Q$107,0))&amp;"","")</f>
        <v/>
      </c>
      <c r="N145" s="9">
        <f>IFERROR(INDEX('All products'!$N$2:$N$107,MATCH(140,'All products'!$Q$2:$Q$107,0))&amp;"","")</f>
        <v/>
      </c>
      <c r="O145" s="9">
        <f>IFERROR(HYPERLINK(INDEX('All products'!$O$2:$O$107,MATCH(140,'All products'!$Q$2:$Q$107,0))),"")</f>
        <v/>
      </c>
    </row>
    <row r="146" ht="15" customHeight="1" s="10">
      <c r="A146" s="9">
        <f>IFERROR(INDEX('All products'!$A$2:$A$107,MATCH(141,'All products'!$Q$2:$Q$107,0))&amp;"","")</f>
        <v/>
      </c>
      <c r="B146" s="9">
        <f>IFERROR(INDEX('All products'!$B$2:$B$107,MATCH(141,'All products'!$Q$2:$Q$107,0))&amp;"","")</f>
        <v/>
      </c>
      <c r="C146" s="9">
        <f>IFERROR(INDEX('All products'!$C$2:$C$107,MATCH(141,'All products'!$Q$2:$Q$107,0))&amp;"","")</f>
        <v/>
      </c>
      <c r="D146" s="9">
        <f>IFERROR(INDEX('All products'!$D$2:$D$107,MATCH(141,'All products'!$Q$2:$Q$107,0))&amp;"","")</f>
        <v/>
      </c>
      <c r="E146" s="9">
        <f>IFERROR(INDEX('All products'!$E$2:$E$107,MATCH(141,'All products'!$Q$2:$Q$107,0))&amp;"","")</f>
        <v/>
      </c>
      <c r="F146" s="9">
        <f>IFERROR(INDEX('All products'!$F$2:$F$107,MATCH(141,'All products'!$Q$2:$Q$107,0))&amp;"","")</f>
        <v/>
      </c>
      <c r="G146" s="9">
        <f>IFERROR(INDEX('All products'!$G$2:$G$107,MATCH(141,'All products'!$Q$2:$Q$107,0))&amp;"","")</f>
        <v/>
      </c>
      <c r="H146" s="9">
        <f>IFERROR(INDEX('All products'!$H$2:$H$107,MATCH(141,'All products'!$Q$2:$Q$107,0))&amp;"","")</f>
        <v/>
      </c>
      <c r="I146" s="9">
        <f>IFERROR(INDEX('All products'!$I$2:$I$107,MATCH(141,'All products'!$Q$2:$Q$107,0))&amp;"","")</f>
        <v/>
      </c>
      <c r="J146" s="9">
        <f>IFERROR(INDEX('All products'!$J$2:$J$107,MATCH(141,'All products'!$Q$2:$Q$107,0))&amp;"","")</f>
        <v/>
      </c>
      <c r="K146" s="9">
        <f>IFERROR(INDEX('All products'!$K$2:$K$107,MATCH(141,'All products'!$Q$2:$Q$107,0))&amp;"","")</f>
        <v/>
      </c>
      <c r="L146" s="9">
        <f>IFERROR(INDEX('All products'!$L$2:$L$107,MATCH(141,'All products'!$Q$2:$Q$107,0))&amp;"","")</f>
        <v/>
      </c>
      <c r="M146" s="9">
        <f>IFERROR(INDEX('All products'!$M$2:$M$107,MATCH(141,'All products'!$Q$2:$Q$107,0))&amp;"","")</f>
        <v/>
      </c>
      <c r="N146" s="9">
        <f>IFERROR(INDEX('All products'!$N$2:$N$107,MATCH(141,'All products'!$Q$2:$Q$107,0))&amp;"","")</f>
        <v/>
      </c>
      <c r="O146" s="9">
        <f>IFERROR(HYPERLINK(INDEX('All products'!$O$2:$O$107,MATCH(141,'All products'!$Q$2:$Q$107,0))),"")</f>
        <v/>
      </c>
    </row>
    <row r="147" ht="15" customHeight="1" s="10">
      <c r="A147" s="9">
        <f>IFERROR(INDEX('All products'!$A$2:$A$107,MATCH(142,'All products'!$Q$2:$Q$107,0))&amp;"","")</f>
        <v/>
      </c>
      <c r="B147" s="9">
        <f>IFERROR(INDEX('All products'!$B$2:$B$107,MATCH(142,'All products'!$Q$2:$Q$107,0))&amp;"","")</f>
        <v/>
      </c>
      <c r="C147" s="9">
        <f>IFERROR(INDEX('All products'!$C$2:$C$107,MATCH(142,'All products'!$Q$2:$Q$107,0))&amp;"","")</f>
        <v/>
      </c>
      <c r="D147" s="9">
        <f>IFERROR(INDEX('All products'!$D$2:$D$107,MATCH(142,'All products'!$Q$2:$Q$107,0))&amp;"","")</f>
        <v/>
      </c>
      <c r="E147" s="9">
        <f>IFERROR(INDEX('All products'!$E$2:$E$107,MATCH(142,'All products'!$Q$2:$Q$107,0))&amp;"","")</f>
        <v/>
      </c>
      <c r="F147" s="9">
        <f>IFERROR(INDEX('All products'!$F$2:$F$107,MATCH(142,'All products'!$Q$2:$Q$107,0))&amp;"","")</f>
        <v/>
      </c>
      <c r="G147" s="9">
        <f>IFERROR(INDEX('All products'!$G$2:$G$107,MATCH(142,'All products'!$Q$2:$Q$107,0))&amp;"","")</f>
        <v/>
      </c>
      <c r="H147" s="9">
        <f>IFERROR(INDEX('All products'!$H$2:$H$107,MATCH(142,'All products'!$Q$2:$Q$107,0))&amp;"","")</f>
        <v/>
      </c>
      <c r="I147" s="9">
        <f>IFERROR(INDEX('All products'!$I$2:$I$107,MATCH(142,'All products'!$Q$2:$Q$107,0))&amp;"","")</f>
        <v/>
      </c>
      <c r="J147" s="9">
        <f>IFERROR(INDEX('All products'!$J$2:$J$107,MATCH(142,'All products'!$Q$2:$Q$107,0))&amp;"","")</f>
        <v/>
      </c>
      <c r="K147" s="9">
        <f>IFERROR(INDEX('All products'!$K$2:$K$107,MATCH(142,'All products'!$Q$2:$Q$107,0))&amp;"","")</f>
        <v/>
      </c>
      <c r="L147" s="9">
        <f>IFERROR(INDEX('All products'!$L$2:$L$107,MATCH(142,'All products'!$Q$2:$Q$107,0))&amp;"","")</f>
        <v/>
      </c>
      <c r="M147" s="9">
        <f>IFERROR(INDEX('All products'!$M$2:$M$107,MATCH(142,'All products'!$Q$2:$Q$107,0))&amp;"","")</f>
        <v/>
      </c>
      <c r="N147" s="9">
        <f>IFERROR(INDEX('All products'!$N$2:$N$107,MATCH(142,'All products'!$Q$2:$Q$107,0))&amp;"","")</f>
        <v/>
      </c>
      <c r="O147" s="9">
        <f>IFERROR(HYPERLINK(INDEX('All products'!$O$2:$O$107,MATCH(142,'All products'!$Q$2:$Q$107,0))),"")</f>
        <v/>
      </c>
    </row>
    <row r="148" ht="15" customHeight="1" s="10">
      <c r="A148" s="9">
        <f>IFERROR(INDEX('All products'!$A$2:$A$107,MATCH(143,'All products'!$Q$2:$Q$107,0))&amp;"","")</f>
        <v/>
      </c>
      <c r="B148" s="9">
        <f>IFERROR(INDEX('All products'!$B$2:$B$107,MATCH(143,'All products'!$Q$2:$Q$107,0))&amp;"","")</f>
        <v/>
      </c>
      <c r="C148" s="9">
        <f>IFERROR(INDEX('All products'!$C$2:$C$107,MATCH(143,'All products'!$Q$2:$Q$107,0))&amp;"","")</f>
        <v/>
      </c>
      <c r="D148" s="9">
        <f>IFERROR(INDEX('All products'!$D$2:$D$107,MATCH(143,'All products'!$Q$2:$Q$107,0))&amp;"","")</f>
        <v/>
      </c>
      <c r="E148" s="9">
        <f>IFERROR(INDEX('All products'!$E$2:$E$107,MATCH(143,'All products'!$Q$2:$Q$107,0))&amp;"","")</f>
        <v/>
      </c>
      <c r="F148" s="9">
        <f>IFERROR(INDEX('All products'!$F$2:$F$107,MATCH(143,'All products'!$Q$2:$Q$107,0))&amp;"","")</f>
        <v/>
      </c>
      <c r="G148" s="9">
        <f>IFERROR(INDEX('All products'!$G$2:$G$107,MATCH(143,'All products'!$Q$2:$Q$107,0))&amp;"","")</f>
        <v/>
      </c>
      <c r="H148" s="9">
        <f>IFERROR(INDEX('All products'!$H$2:$H$107,MATCH(143,'All products'!$Q$2:$Q$107,0))&amp;"","")</f>
        <v/>
      </c>
      <c r="I148" s="9">
        <f>IFERROR(INDEX('All products'!$I$2:$I$107,MATCH(143,'All products'!$Q$2:$Q$107,0))&amp;"","")</f>
        <v/>
      </c>
      <c r="J148" s="9">
        <f>IFERROR(INDEX('All products'!$J$2:$J$107,MATCH(143,'All products'!$Q$2:$Q$107,0))&amp;"","")</f>
        <v/>
      </c>
      <c r="K148" s="9">
        <f>IFERROR(INDEX('All products'!$K$2:$K$107,MATCH(143,'All products'!$Q$2:$Q$107,0))&amp;"","")</f>
        <v/>
      </c>
      <c r="L148" s="9">
        <f>IFERROR(INDEX('All products'!$L$2:$L$107,MATCH(143,'All products'!$Q$2:$Q$107,0))&amp;"","")</f>
        <v/>
      </c>
      <c r="M148" s="9">
        <f>IFERROR(INDEX('All products'!$M$2:$M$107,MATCH(143,'All products'!$Q$2:$Q$107,0))&amp;"","")</f>
        <v/>
      </c>
      <c r="N148" s="9">
        <f>IFERROR(INDEX('All products'!$N$2:$N$107,MATCH(143,'All products'!$Q$2:$Q$107,0))&amp;"","")</f>
        <v/>
      </c>
      <c r="O148" s="9">
        <f>IFERROR(HYPERLINK(INDEX('All products'!$O$2:$O$107,MATCH(143,'All products'!$Q$2:$Q$107,0))),"")</f>
        <v/>
      </c>
    </row>
    <row r="149" ht="15" customHeight="1" s="10">
      <c r="A149" s="9">
        <f>IFERROR(INDEX('All products'!$A$2:$A$107,MATCH(144,'All products'!$Q$2:$Q$107,0))&amp;"","")</f>
        <v/>
      </c>
      <c r="B149" s="9">
        <f>IFERROR(INDEX('All products'!$B$2:$B$107,MATCH(144,'All products'!$Q$2:$Q$107,0))&amp;"","")</f>
        <v/>
      </c>
      <c r="C149" s="9">
        <f>IFERROR(INDEX('All products'!$C$2:$C$107,MATCH(144,'All products'!$Q$2:$Q$107,0))&amp;"","")</f>
        <v/>
      </c>
      <c r="D149" s="9">
        <f>IFERROR(INDEX('All products'!$D$2:$D$107,MATCH(144,'All products'!$Q$2:$Q$107,0))&amp;"","")</f>
        <v/>
      </c>
      <c r="E149" s="9">
        <f>IFERROR(INDEX('All products'!$E$2:$E$107,MATCH(144,'All products'!$Q$2:$Q$107,0))&amp;"","")</f>
        <v/>
      </c>
      <c r="F149" s="9">
        <f>IFERROR(INDEX('All products'!$F$2:$F$107,MATCH(144,'All products'!$Q$2:$Q$107,0))&amp;"","")</f>
        <v/>
      </c>
      <c r="G149" s="9">
        <f>IFERROR(INDEX('All products'!$G$2:$G$107,MATCH(144,'All products'!$Q$2:$Q$107,0))&amp;"","")</f>
        <v/>
      </c>
      <c r="H149" s="9">
        <f>IFERROR(INDEX('All products'!$H$2:$H$107,MATCH(144,'All products'!$Q$2:$Q$107,0))&amp;"","")</f>
        <v/>
      </c>
      <c r="I149" s="9">
        <f>IFERROR(INDEX('All products'!$I$2:$I$107,MATCH(144,'All products'!$Q$2:$Q$107,0))&amp;"","")</f>
        <v/>
      </c>
      <c r="J149" s="9">
        <f>IFERROR(INDEX('All products'!$J$2:$J$107,MATCH(144,'All products'!$Q$2:$Q$107,0))&amp;"","")</f>
        <v/>
      </c>
      <c r="K149" s="9">
        <f>IFERROR(INDEX('All products'!$K$2:$K$107,MATCH(144,'All products'!$Q$2:$Q$107,0))&amp;"","")</f>
        <v/>
      </c>
      <c r="L149" s="9">
        <f>IFERROR(INDEX('All products'!$L$2:$L$107,MATCH(144,'All products'!$Q$2:$Q$107,0))&amp;"","")</f>
        <v/>
      </c>
      <c r="M149" s="9">
        <f>IFERROR(INDEX('All products'!$M$2:$M$107,MATCH(144,'All products'!$Q$2:$Q$107,0))&amp;"","")</f>
        <v/>
      </c>
      <c r="N149" s="9">
        <f>IFERROR(INDEX('All products'!$N$2:$N$107,MATCH(144,'All products'!$Q$2:$Q$107,0))&amp;"","")</f>
        <v/>
      </c>
      <c r="O149" s="9">
        <f>IFERROR(HYPERLINK(INDEX('All products'!$O$2:$O$107,MATCH(144,'All products'!$Q$2:$Q$107,0))),"")</f>
        <v/>
      </c>
    </row>
    <row r="150" ht="15" customHeight="1" s="10">
      <c r="A150" s="9">
        <f>IFERROR(INDEX('All products'!$A$2:$A$107,MATCH(145,'All products'!$Q$2:$Q$107,0))&amp;"","")</f>
        <v/>
      </c>
      <c r="B150" s="9">
        <f>IFERROR(INDEX('All products'!$B$2:$B$107,MATCH(145,'All products'!$Q$2:$Q$107,0))&amp;"","")</f>
        <v/>
      </c>
      <c r="C150" s="9">
        <f>IFERROR(INDEX('All products'!$C$2:$C$107,MATCH(145,'All products'!$Q$2:$Q$107,0))&amp;"","")</f>
        <v/>
      </c>
      <c r="D150" s="9">
        <f>IFERROR(INDEX('All products'!$D$2:$D$107,MATCH(145,'All products'!$Q$2:$Q$107,0))&amp;"","")</f>
        <v/>
      </c>
      <c r="E150" s="9">
        <f>IFERROR(INDEX('All products'!$E$2:$E$107,MATCH(145,'All products'!$Q$2:$Q$107,0))&amp;"","")</f>
        <v/>
      </c>
      <c r="F150" s="9">
        <f>IFERROR(INDEX('All products'!$F$2:$F$107,MATCH(145,'All products'!$Q$2:$Q$107,0))&amp;"","")</f>
        <v/>
      </c>
      <c r="G150" s="9">
        <f>IFERROR(INDEX('All products'!$G$2:$G$107,MATCH(145,'All products'!$Q$2:$Q$107,0))&amp;"","")</f>
        <v/>
      </c>
      <c r="H150" s="9">
        <f>IFERROR(INDEX('All products'!$H$2:$H$107,MATCH(145,'All products'!$Q$2:$Q$107,0))&amp;"","")</f>
        <v/>
      </c>
      <c r="I150" s="9">
        <f>IFERROR(INDEX('All products'!$I$2:$I$107,MATCH(145,'All products'!$Q$2:$Q$107,0))&amp;"","")</f>
        <v/>
      </c>
      <c r="J150" s="9">
        <f>IFERROR(INDEX('All products'!$J$2:$J$107,MATCH(145,'All products'!$Q$2:$Q$107,0))&amp;"","")</f>
        <v/>
      </c>
      <c r="K150" s="9">
        <f>IFERROR(INDEX('All products'!$K$2:$K$107,MATCH(145,'All products'!$Q$2:$Q$107,0))&amp;"","")</f>
        <v/>
      </c>
      <c r="L150" s="9">
        <f>IFERROR(INDEX('All products'!$L$2:$L$107,MATCH(145,'All products'!$Q$2:$Q$107,0))&amp;"","")</f>
        <v/>
      </c>
      <c r="M150" s="9">
        <f>IFERROR(INDEX('All products'!$M$2:$M$107,MATCH(145,'All products'!$Q$2:$Q$107,0))&amp;"","")</f>
        <v/>
      </c>
      <c r="N150" s="9">
        <f>IFERROR(INDEX('All products'!$N$2:$N$107,MATCH(145,'All products'!$Q$2:$Q$107,0))&amp;"","")</f>
        <v/>
      </c>
      <c r="O150" s="9">
        <f>IFERROR(HYPERLINK(INDEX('All products'!$O$2:$O$107,MATCH(145,'All products'!$Q$2:$Q$107,0))),"")</f>
        <v/>
      </c>
    </row>
    <row r="151" ht="15" customHeight="1" s="10">
      <c r="A151" s="9">
        <f>IFERROR(INDEX('All products'!$A$2:$A$107,MATCH(146,'All products'!$Q$2:$Q$107,0))&amp;"","")</f>
        <v/>
      </c>
      <c r="B151" s="9">
        <f>IFERROR(INDEX('All products'!$B$2:$B$107,MATCH(146,'All products'!$Q$2:$Q$107,0))&amp;"","")</f>
        <v/>
      </c>
      <c r="C151" s="9">
        <f>IFERROR(INDEX('All products'!$C$2:$C$107,MATCH(146,'All products'!$Q$2:$Q$107,0))&amp;"","")</f>
        <v/>
      </c>
      <c r="D151" s="9">
        <f>IFERROR(INDEX('All products'!$D$2:$D$107,MATCH(146,'All products'!$Q$2:$Q$107,0))&amp;"","")</f>
        <v/>
      </c>
      <c r="E151" s="9">
        <f>IFERROR(INDEX('All products'!$E$2:$E$107,MATCH(146,'All products'!$Q$2:$Q$107,0))&amp;"","")</f>
        <v/>
      </c>
      <c r="F151" s="9">
        <f>IFERROR(INDEX('All products'!$F$2:$F$107,MATCH(146,'All products'!$Q$2:$Q$107,0))&amp;"","")</f>
        <v/>
      </c>
      <c r="G151" s="9">
        <f>IFERROR(INDEX('All products'!$G$2:$G$107,MATCH(146,'All products'!$Q$2:$Q$107,0))&amp;"","")</f>
        <v/>
      </c>
      <c r="H151" s="9">
        <f>IFERROR(INDEX('All products'!$H$2:$H$107,MATCH(146,'All products'!$Q$2:$Q$107,0))&amp;"","")</f>
        <v/>
      </c>
      <c r="I151" s="9">
        <f>IFERROR(INDEX('All products'!$I$2:$I$107,MATCH(146,'All products'!$Q$2:$Q$107,0))&amp;"","")</f>
        <v/>
      </c>
      <c r="J151" s="9">
        <f>IFERROR(INDEX('All products'!$J$2:$J$107,MATCH(146,'All products'!$Q$2:$Q$107,0))&amp;"","")</f>
        <v/>
      </c>
      <c r="K151" s="9">
        <f>IFERROR(INDEX('All products'!$K$2:$K$107,MATCH(146,'All products'!$Q$2:$Q$107,0))&amp;"","")</f>
        <v/>
      </c>
      <c r="L151" s="9">
        <f>IFERROR(INDEX('All products'!$L$2:$L$107,MATCH(146,'All products'!$Q$2:$Q$107,0))&amp;"","")</f>
        <v/>
      </c>
      <c r="M151" s="9">
        <f>IFERROR(INDEX('All products'!$M$2:$M$107,MATCH(146,'All products'!$Q$2:$Q$107,0))&amp;"","")</f>
        <v/>
      </c>
      <c r="N151" s="9">
        <f>IFERROR(INDEX('All products'!$N$2:$N$107,MATCH(146,'All products'!$Q$2:$Q$107,0))&amp;"","")</f>
        <v/>
      </c>
      <c r="O151" s="9">
        <f>IFERROR(HYPERLINK(INDEX('All products'!$O$2:$O$107,MATCH(146,'All products'!$Q$2:$Q$107,0))),"")</f>
        <v/>
      </c>
    </row>
    <row r="152" ht="15" customHeight="1" s="10">
      <c r="A152" s="9">
        <f>IFERROR(INDEX('All products'!$A$2:$A$107,MATCH(147,'All products'!$Q$2:$Q$107,0))&amp;"","")</f>
        <v/>
      </c>
      <c r="B152" s="9">
        <f>IFERROR(INDEX('All products'!$B$2:$B$107,MATCH(147,'All products'!$Q$2:$Q$107,0))&amp;"","")</f>
        <v/>
      </c>
      <c r="C152" s="9">
        <f>IFERROR(INDEX('All products'!$C$2:$C$107,MATCH(147,'All products'!$Q$2:$Q$107,0))&amp;"","")</f>
        <v/>
      </c>
      <c r="D152" s="9">
        <f>IFERROR(INDEX('All products'!$D$2:$D$107,MATCH(147,'All products'!$Q$2:$Q$107,0))&amp;"","")</f>
        <v/>
      </c>
      <c r="E152" s="9">
        <f>IFERROR(INDEX('All products'!$E$2:$E$107,MATCH(147,'All products'!$Q$2:$Q$107,0))&amp;"","")</f>
        <v/>
      </c>
      <c r="F152" s="9">
        <f>IFERROR(INDEX('All products'!$F$2:$F$107,MATCH(147,'All products'!$Q$2:$Q$107,0))&amp;"","")</f>
        <v/>
      </c>
      <c r="G152" s="9">
        <f>IFERROR(INDEX('All products'!$G$2:$G$107,MATCH(147,'All products'!$Q$2:$Q$107,0))&amp;"","")</f>
        <v/>
      </c>
      <c r="H152" s="9">
        <f>IFERROR(INDEX('All products'!$H$2:$H$107,MATCH(147,'All products'!$Q$2:$Q$107,0))&amp;"","")</f>
        <v/>
      </c>
      <c r="I152" s="9">
        <f>IFERROR(INDEX('All products'!$I$2:$I$107,MATCH(147,'All products'!$Q$2:$Q$107,0))&amp;"","")</f>
        <v/>
      </c>
      <c r="J152" s="9">
        <f>IFERROR(INDEX('All products'!$J$2:$J$107,MATCH(147,'All products'!$Q$2:$Q$107,0))&amp;"","")</f>
        <v/>
      </c>
      <c r="K152" s="9">
        <f>IFERROR(INDEX('All products'!$K$2:$K$107,MATCH(147,'All products'!$Q$2:$Q$107,0))&amp;"","")</f>
        <v/>
      </c>
      <c r="L152" s="9">
        <f>IFERROR(INDEX('All products'!$L$2:$L$107,MATCH(147,'All products'!$Q$2:$Q$107,0))&amp;"","")</f>
        <v/>
      </c>
      <c r="M152" s="9">
        <f>IFERROR(INDEX('All products'!$M$2:$M$107,MATCH(147,'All products'!$Q$2:$Q$107,0))&amp;"","")</f>
        <v/>
      </c>
      <c r="N152" s="9">
        <f>IFERROR(INDEX('All products'!$N$2:$N$107,MATCH(147,'All products'!$Q$2:$Q$107,0))&amp;"","")</f>
        <v/>
      </c>
      <c r="O152" s="9">
        <f>IFERROR(HYPERLINK(INDEX('All products'!$O$2:$O$107,MATCH(147,'All products'!$Q$2:$Q$107,0))),"")</f>
        <v/>
      </c>
    </row>
    <row r="153" ht="15" customHeight="1" s="10">
      <c r="A153" s="9">
        <f>IFERROR(INDEX('All products'!$A$2:$A$107,MATCH(148,'All products'!$Q$2:$Q$107,0))&amp;"","")</f>
        <v/>
      </c>
      <c r="B153" s="9">
        <f>IFERROR(INDEX('All products'!$B$2:$B$107,MATCH(148,'All products'!$Q$2:$Q$107,0))&amp;"","")</f>
        <v/>
      </c>
      <c r="C153" s="9">
        <f>IFERROR(INDEX('All products'!$C$2:$C$107,MATCH(148,'All products'!$Q$2:$Q$107,0))&amp;"","")</f>
        <v/>
      </c>
      <c r="D153" s="9">
        <f>IFERROR(INDEX('All products'!$D$2:$D$107,MATCH(148,'All products'!$Q$2:$Q$107,0))&amp;"","")</f>
        <v/>
      </c>
      <c r="E153" s="9">
        <f>IFERROR(INDEX('All products'!$E$2:$E$107,MATCH(148,'All products'!$Q$2:$Q$107,0))&amp;"","")</f>
        <v/>
      </c>
      <c r="F153" s="9">
        <f>IFERROR(INDEX('All products'!$F$2:$F$107,MATCH(148,'All products'!$Q$2:$Q$107,0))&amp;"","")</f>
        <v/>
      </c>
      <c r="G153" s="9">
        <f>IFERROR(INDEX('All products'!$G$2:$G$107,MATCH(148,'All products'!$Q$2:$Q$107,0))&amp;"","")</f>
        <v/>
      </c>
      <c r="H153" s="9">
        <f>IFERROR(INDEX('All products'!$H$2:$H$107,MATCH(148,'All products'!$Q$2:$Q$107,0))&amp;"","")</f>
        <v/>
      </c>
      <c r="I153" s="9">
        <f>IFERROR(INDEX('All products'!$I$2:$I$107,MATCH(148,'All products'!$Q$2:$Q$107,0))&amp;"","")</f>
        <v/>
      </c>
      <c r="J153" s="9">
        <f>IFERROR(INDEX('All products'!$J$2:$J$107,MATCH(148,'All products'!$Q$2:$Q$107,0))&amp;"","")</f>
        <v/>
      </c>
      <c r="K153" s="9">
        <f>IFERROR(INDEX('All products'!$K$2:$K$107,MATCH(148,'All products'!$Q$2:$Q$107,0))&amp;"","")</f>
        <v/>
      </c>
      <c r="L153" s="9">
        <f>IFERROR(INDEX('All products'!$L$2:$L$107,MATCH(148,'All products'!$Q$2:$Q$107,0))&amp;"","")</f>
        <v/>
      </c>
      <c r="M153" s="9">
        <f>IFERROR(INDEX('All products'!$M$2:$M$107,MATCH(148,'All products'!$Q$2:$Q$107,0))&amp;"","")</f>
        <v/>
      </c>
      <c r="N153" s="9">
        <f>IFERROR(INDEX('All products'!$N$2:$N$107,MATCH(148,'All products'!$Q$2:$Q$107,0))&amp;"","")</f>
        <v/>
      </c>
      <c r="O153" s="9">
        <f>IFERROR(HYPERLINK(INDEX('All products'!$O$2:$O$107,MATCH(148,'All products'!$Q$2:$Q$107,0))),"")</f>
        <v/>
      </c>
    </row>
    <row r="154" ht="15" customHeight="1" s="10">
      <c r="A154" s="9">
        <f>IFERROR(INDEX('All products'!$A$2:$A$107,MATCH(149,'All products'!$Q$2:$Q$107,0))&amp;"","")</f>
        <v/>
      </c>
      <c r="B154" s="9">
        <f>IFERROR(INDEX('All products'!$B$2:$B$107,MATCH(149,'All products'!$Q$2:$Q$107,0))&amp;"","")</f>
        <v/>
      </c>
      <c r="C154" s="9">
        <f>IFERROR(INDEX('All products'!$C$2:$C$107,MATCH(149,'All products'!$Q$2:$Q$107,0))&amp;"","")</f>
        <v/>
      </c>
      <c r="D154" s="9">
        <f>IFERROR(INDEX('All products'!$D$2:$D$107,MATCH(149,'All products'!$Q$2:$Q$107,0))&amp;"","")</f>
        <v/>
      </c>
      <c r="E154" s="9">
        <f>IFERROR(INDEX('All products'!$E$2:$E$107,MATCH(149,'All products'!$Q$2:$Q$107,0))&amp;"","")</f>
        <v/>
      </c>
      <c r="F154" s="9">
        <f>IFERROR(INDEX('All products'!$F$2:$F$107,MATCH(149,'All products'!$Q$2:$Q$107,0))&amp;"","")</f>
        <v/>
      </c>
      <c r="G154" s="9">
        <f>IFERROR(INDEX('All products'!$G$2:$G$107,MATCH(149,'All products'!$Q$2:$Q$107,0))&amp;"","")</f>
        <v/>
      </c>
      <c r="H154" s="9">
        <f>IFERROR(INDEX('All products'!$H$2:$H$107,MATCH(149,'All products'!$Q$2:$Q$107,0))&amp;"","")</f>
        <v/>
      </c>
      <c r="I154" s="9">
        <f>IFERROR(INDEX('All products'!$I$2:$I$107,MATCH(149,'All products'!$Q$2:$Q$107,0))&amp;"","")</f>
        <v/>
      </c>
      <c r="J154" s="9">
        <f>IFERROR(INDEX('All products'!$J$2:$J$107,MATCH(149,'All products'!$Q$2:$Q$107,0))&amp;"","")</f>
        <v/>
      </c>
      <c r="K154" s="9">
        <f>IFERROR(INDEX('All products'!$K$2:$K$107,MATCH(149,'All products'!$Q$2:$Q$107,0))&amp;"","")</f>
        <v/>
      </c>
      <c r="L154" s="9">
        <f>IFERROR(INDEX('All products'!$L$2:$L$107,MATCH(149,'All products'!$Q$2:$Q$107,0))&amp;"","")</f>
        <v/>
      </c>
      <c r="M154" s="9">
        <f>IFERROR(INDEX('All products'!$M$2:$M$107,MATCH(149,'All products'!$Q$2:$Q$107,0))&amp;"","")</f>
        <v/>
      </c>
      <c r="N154" s="9">
        <f>IFERROR(INDEX('All products'!$N$2:$N$107,MATCH(149,'All products'!$Q$2:$Q$107,0))&amp;"","")</f>
        <v/>
      </c>
      <c r="O154" s="9">
        <f>IFERROR(HYPERLINK(INDEX('All products'!$O$2:$O$107,MATCH(149,'All products'!$Q$2:$Q$107,0))),"")</f>
        <v/>
      </c>
    </row>
    <row r="155" ht="15" customHeight="1" s="10">
      <c r="A155" s="9">
        <f>IFERROR(INDEX('All products'!$A$2:$A$107,MATCH(150,'All products'!$Q$2:$Q$107,0))&amp;"","")</f>
        <v/>
      </c>
      <c r="B155" s="9">
        <f>IFERROR(INDEX('All products'!$B$2:$B$107,MATCH(150,'All products'!$Q$2:$Q$107,0))&amp;"","")</f>
        <v/>
      </c>
      <c r="C155" s="9">
        <f>IFERROR(INDEX('All products'!$C$2:$C$107,MATCH(150,'All products'!$Q$2:$Q$107,0))&amp;"","")</f>
        <v/>
      </c>
      <c r="D155" s="9">
        <f>IFERROR(INDEX('All products'!$D$2:$D$107,MATCH(150,'All products'!$Q$2:$Q$107,0))&amp;"","")</f>
        <v/>
      </c>
      <c r="E155" s="9">
        <f>IFERROR(INDEX('All products'!$E$2:$E$107,MATCH(150,'All products'!$Q$2:$Q$107,0))&amp;"","")</f>
        <v/>
      </c>
      <c r="F155" s="9">
        <f>IFERROR(INDEX('All products'!$F$2:$F$107,MATCH(150,'All products'!$Q$2:$Q$107,0))&amp;"","")</f>
        <v/>
      </c>
      <c r="G155" s="9">
        <f>IFERROR(INDEX('All products'!$G$2:$G$107,MATCH(150,'All products'!$Q$2:$Q$107,0))&amp;"","")</f>
        <v/>
      </c>
      <c r="H155" s="9">
        <f>IFERROR(INDEX('All products'!$H$2:$H$107,MATCH(150,'All products'!$Q$2:$Q$107,0))&amp;"","")</f>
        <v/>
      </c>
      <c r="I155" s="9">
        <f>IFERROR(INDEX('All products'!$I$2:$I$107,MATCH(150,'All products'!$Q$2:$Q$107,0))&amp;"","")</f>
        <v/>
      </c>
      <c r="J155" s="9">
        <f>IFERROR(INDEX('All products'!$J$2:$J$107,MATCH(150,'All products'!$Q$2:$Q$107,0))&amp;"","")</f>
        <v/>
      </c>
      <c r="K155" s="9">
        <f>IFERROR(INDEX('All products'!$K$2:$K$107,MATCH(150,'All products'!$Q$2:$Q$107,0))&amp;"","")</f>
        <v/>
      </c>
      <c r="L155" s="9">
        <f>IFERROR(INDEX('All products'!$L$2:$L$107,MATCH(150,'All products'!$Q$2:$Q$107,0))&amp;"","")</f>
        <v/>
      </c>
      <c r="M155" s="9">
        <f>IFERROR(INDEX('All products'!$M$2:$M$107,MATCH(150,'All products'!$Q$2:$Q$107,0))&amp;"","")</f>
        <v/>
      </c>
      <c r="N155" s="9">
        <f>IFERROR(INDEX('All products'!$N$2:$N$107,MATCH(150,'All products'!$Q$2:$Q$107,0))&amp;"","")</f>
        <v/>
      </c>
      <c r="O155" s="9">
        <f>IFERROR(HYPERLINK(INDEX('All products'!$O$2:$O$107,MATCH(150,'All products'!$Q$2:$Q$107,0))),"")</f>
        <v/>
      </c>
    </row>
    <row r="156" ht="15" customHeight="1" s="10">
      <c r="A156" s="9">
        <f>IFERROR(INDEX('All products'!$A$2:$A$107,MATCH(151,'All products'!$Q$2:$Q$107,0))&amp;"","")</f>
        <v/>
      </c>
      <c r="B156" s="9">
        <f>IFERROR(INDEX('All products'!$B$2:$B$107,MATCH(151,'All products'!$Q$2:$Q$107,0))&amp;"","")</f>
        <v/>
      </c>
      <c r="C156" s="9">
        <f>IFERROR(INDEX('All products'!$C$2:$C$107,MATCH(151,'All products'!$Q$2:$Q$107,0))&amp;"","")</f>
        <v/>
      </c>
      <c r="D156" s="9">
        <f>IFERROR(INDEX('All products'!$D$2:$D$107,MATCH(151,'All products'!$Q$2:$Q$107,0))&amp;"","")</f>
        <v/>
      </c>
      <c r="E156" s="9">
        <f>IFERROR(INDEX('All products'!$E$2:$E$107,MATCH(151,'All products'!$Q$2:$Q$107,0))&amp;"","")</f>
        <v/>
      </c>
      <c r="F156" s="9">
        <f>IFERROR(INDEX('All products'!$F$2:$F$107,MATCH(151,'All products'!$Q$2:$Q$107,0))&amp;"","")</f>
        <v/>
      </c>
      <c r="G156" s="9">
        <f>IFERROR(INDEX('All products'!$G$2:$G$107,MATCH(151,'All products'!$Q$2:$Q$107,0))&amp;"","")</f>
        <v/>
      </c>
      <c r="H156" s="9">
        <f>IFERROR(INDEX('All products'!$H$2:$H$107,MATCH(151,'All products'!$Q$2:$Q$107,0))&amp;"","")</f>
        <v/>
      </c>
      <c r="I156" s="9">
        <f>IFERROR(INDEX('All products'!$I$2:$I$107,MATCH(151,'All products'!$Q$2:$Q$107,0))&amp;"","")</f>
        <v/>
      </c>
      <c r="J156" s="9">
        <f>IFERROR(INDEX('All products'!$J$2:$J$107,MATCH(151,'All products'!$Q$2:$Q$107,0))&amp;"","")</f>
        <v/>
      </c>
      <c r="K156" s="9">
        <f>IFERROR(INDEX('All products'!$K$2:$K$107,MATCH(151,'All products'!$Q$2:$Q$107,0))&amp;"","")</f>
        <v/>
      </c>
      <c r="L156" s="9">
        <f>IFERROR(INDEX('All products'!$L$2:$L$107,MATCH(151,'All products'!$Q$2:$Q$107,0))&amp;"","")</f>
        <v/>
      </c>
      <c r="M156" s="9">
        <f>IFERROR(INDEX('All products'!$M$2:$M$107,MATCH(151,'All products'!$Q$2:$Q$107,0))&amp;"","")</f>
        <v/>
      </c>
      <c r="N156" s="9">
        <f>IFERROR(INDEX('All products'!$N$2:$N$107,MATCH(151,'All products'!$Q$2:$Q$107,0))&amp;"","")</f>
        <v/>
      </c>
      <c r="O156" s="9">
        <f>IFERROR(HYPERLINK(INDEX('All products'!$O$2:$O$107,MATCH(151,'All products'!$Q$2:$Q$107,0))),"")</f>
        <v/>
      </c>
    </row>
    <row r="157" ht="15" customHeight="1" s="10">
      <c r="A157" s="9">
        <f>IFERROR(INDEX('All products'!$A$2:$A$107,MATCH(152,'All products'!$Q$2:$Q$107,0))&amp;"","")</f>
        <v/>
      </c>
      <c r="B157" s="9">
        <f>IFERROR(INDEX('All products'!$B$2:$B$107,MATCH(152,'All products'!$Q$2:$Q$107,0))&amp;"","")</f>
        <v/>
      </c>
      <c r="C157" s="9">
        <f>IFERROR(INDEX('All products'!$C$2:$C$107,MATCH(152,'All products'!$Q$2:$Q$107,0))&amp;"","")</f>
        <v/>
      </c>
      <c r="D157" s="9">
        <f>IFERROR(INDEX('All products'!$D$2:$D$107,MATCH(152,'All products'!$Q$2:$Q$107,0))&amp;"","")</f>
        <v/>
      </c>
      <c r="E157" s="9">
        <f>IFERROR(INDEX('All products'!$E$2:$E$107,MATCH(152,'All products'!$Q$2:$Q$107,0))&amp;"","")</f>
        <v/>
      </c>
      <c r="F157" s="9">
        <f>IFERROR(INDEX('All products'!$F$2:$F$107,MATCH(152,'All products'!$Q$2:$Q$107,0))&amp;"","")</f>
        <v/>
      </c>
      <c r="G157" s="9">
        <f>IFERROR(INDEX('All products'!$G$2:$G$107,MATCH(152,'All products'!$Q$2:$Q$107,0))&amp;"","")</f>
        <v/>
      </c>
      <c r="H157" s="9">
        <f>IFERROR(INDEX('All products'!$H$2:$H$107,MATCH(152,'All products'!$Q$2:$Q$107,0))&amp;"","")</f>
        <v/>
      </c>
      <c r="I157" s="9">
        <f>IFERROR(INDEX('All products'!$I$2:$I$107,MATCH(152,'All products'!$Q$2:$Q$107,0))&amp;"","")</f>
        <v/>
      </c>
      <c r="J157" s="9">
        <f>IFERROR(INDEX('All products'!$J$2:$J$107,MATCH(152,'All products'!$Q$2:$Q$107,0))&amp;"","")</f>
        <v/>
      </c>
      <c r="K157" s="9">
        <f>IFERROR(INDEX('All products'!$K$2:$K$107,MATCH(152,'All products'!$Q$2:$Q$107,0))&amp;"","")</f>
        <v/>
      </c>
      <c r="L157" s="9">
        <f>IFERROR(INDEX('All products'!$L$2:$L$107,MATCH(152,'All products'!$Q$2:$Q$107,0))&amp;"","")</f>
        <v/>
      </c>
      <c r="M157" s="9">
        <f>IFERROR(INDEX('All products'!$M$2:$M$107,MATCH(152,'All products'!$Q$2:$Q$107,0))&amp;"","")</f>
        <v/>
      </c>
      <c r="N157" s="9">
        <f>IFERROR(INDEX('All products'!$N$2:$N$107,MATCH(152,'All products'!$Q$2:$Q$107,0))&amp;"","")</f>
        <v/>
      </c>
      <c r="O157" s="9">
        <f>IFERROR(HYPERLINK(INDEX('All products'!$O$2:$O$107,MATCH(152,'All products'!$Q$2:$Q$107,0))),"")</f>
        <v/>
      </c>
    </row>
    <row r="158" ht="15" customHeight="1" s="10">
      <c r="A158" s="9">
        <f>IFERROR(INDEX('All products'!$A$2:$A$107,MATCH(153,'All products'!$Q$2:$Q$107,0))&amp;"","")</f>
        <v/>
      </c>
      <c r="B158" s="9">
        <f>IFERROR(INDEX('All products'!$B$2:$B$107,MATCH(153,'All products'!$Q$2:$Q$107,0))&amp;"","")</f>
        <v/>
      </c>
      <c r="C158" s="9">
        <f>IFERROR(INDEX('All products'!$C$2:$C$107,MATCH(153,'All products'!$Q$2:$Q$107,0))&amp;"","")</f>
        <v/>
      </c>
      <c r="D158" s="9">
        <f>IFERROR(INDEX('All products'!$D$2:$D$107,MATCH(153,'All products'!$Q$2:$Q$107,0))&amp;"","")</f>
        <v/>
      </c>
      <c r="E158" s="9">
        <f>IFERROR(INDEX('All products'!$E$2:$E$107,MATCH(153,'All products'!$Q$2:$Q$107,0))&amp;"","")</f>
        <v/>
      </c>
      <c r="F158" s="9">
        <f>IFERROR(INDEX('All products'!$F$2:$F$107,MATCH(153,'All products'!$Q$2:$Q$107,0))&amp;"","")</f>
        <v/>
      </c>
      <c r="G158" s="9">
        <f>IFERROR(INDEX('All products'!$G$2:$G$107,MATCH(153,'All products'!$Q$2:$Q$107,0))&amp;"","")</f>
        <v/>
      </c>
      <c r="H158" s="9">
        <f>IFERROR(INDEX('All products'!$H$2:$H$107,MATCH(153,'All products'!$Q$2:$Q$107,0))&amp;"","")</f>
        <v/>
      </c>
      <c r="I158" s="9">
        <f>IFERROR(INDEX('All products'!$I$2:$I$107,MATCH(153,'All products'!$Q$2:$Q$107,0))&amp;"","")</f>
        <v/>
      </c>
      <c r="J158" s="9">
        <f>IFERROR(INDEX('All products'!$J$2:$J$107,MATCH(153,'All products'!$Q$2:$Q$107,0))&amp;"","")</f>
        <v/>
      </c>
      <c r="K158" s="9">
        <f>IFERROR(INDEX('All products'!$K$2:$K$107,MATCH(153,'All products'!$Q$2:$Q$107,0))&amp;"","")</f>
        <v/>
      </c>
      <c r="L158" s="9">
        <f>IFERROR(INDEX('All products'!$L$2:$L$107,MATCH(153,'All products'!$Q$2:$Q$107,0))&amp;"","")</f>
        <v/>
      </c>
      <c r="M158" s="9">
        <f>IFERROR(INDEX('All products'!$M$2:$M$107,MATCH(153,'All products'!$Q$2:$Q$107,0))&amp;"","")</f>
        <v/>
      </c>
      <c r="N158" s="9">
        <f>IFERROR(INDEX('All products'!$N$2:$N$107,MATCH(153,'All products'!$Q$2:$Q$107,0))&amp;"","")</f>
        <v/>
      </c>
      <c r="O158" s="9">
        <f>IFERROR(HYPERLINK(INDEX('All products'!$O$2:$O$107,MATCH(153,'All products'!$Q$2:$Q$107,0))),"")</f>
        <v/>
      </c>
    </row>
    <row r="159" ht="15" customHeight="1" s="10">
      <c r="A159" s="9">
        <f>IFERROR(INDEX('All products'!$A$2:$A$107,MATCH(154,'All products'!$Q$2:$Q$107,0))&amp;"","")</f>
        <v/>
      </c>
      <c r="B159" s="9">
        <f>IFERROR(INDEX('All products'!$B$2:$B$107,MATCH(154,'All products'!$Q$2:$Q$107,0))&amp;"","")</f>
        <v/>
      </c>
      <c r="C159" s="9">
        <f>IFERROR(INDEX('All products'!$C$2:$C$107,MATCH(154,'All products'!$Q$2:$Q$107,0))&amp;"","")</f>
        <v/>
      </c>
      <c r="D159" s="9">
        <f>IFERROR(INDEX('All products'!$D$2:$D$107,MATCH(154,'All products'!$Q$2:$Q$107,0))&amp;"","")</f>
        <v/>
      </c>
      <c r="E159" s="9">
        <f>IFERROR(INDEX('All products'!$E$2:$E$107,MATCH(154,'All products'!$Q$2:$Q$107,0))&amp;"","")</f>
        <v/>
      </c>
      <c r="F159" s="9">
        <f>IFERROR(INDEX('All products'!$F$2:$F$107,MATCH(154,'All products'!$Q$2:$Q$107,0))&amp;"","")</f>
        <v/>
      </c>
      <c r="G159" s="9">
        <f>IFERROR(INDEX('All products'!$G$2:$G$107,MATCH(154,'All products'!$Q$2:$Q$107,0))&amp;"","")</f>
        <v/>
      </c>
      <c r="H159" s="9">
        <f>IFERROR(INDEX('All products'!$H$2:$H$107,MATCH(154,'All products'!$Q$2:$Q$107,0))&amp;"","")</f>
        <v/>
      </c>
      <c r="I159" s="9">
        <f>IFERROR(INDEX('All products'!$I$2:$I$107,MATCH(154,'All products'!$Q$2:$Q$107,0))&amp;"","")</f>
        <v/>
      </c>
      <c r="J159" s="9">
        <f>IFERROR(INDEX('All products'!$J$2:$J$107,MATCH(154,'All products'!$Q$2:$Q$107,0))&amp;"","")</f>
        <v/>
      </c>
      <c r="K159" s="9">
        <f>IFERROR(INDEX('All products'!$K$2:$K$107,MATCH(154,'All products'!$Q$2:$Q$107,0))&amp;"","")</f>
        <v/>
      </c>
      <c r="L159" s="9">
        <f>IFERROR(INDEX('All products'!$L$2:$L$107,MATCH(154,'All products'!$Q$2:$Q$107,0))&amp;"","")</f>
        <v/>
      </c>
      <c r="M159" s="9">
        <f>IFERROR(INDEX('All products'!$M$2:$M$107,MATCH(154,'All products'!$Q$2:$Q$107,0))&amp;"","")</f>
        <v/>
      </c>
      <c r="N159" s="9">
        <f>IFERROR(INDEX('All products'!$N$2:$N$107,MATCH(154,'All products'!$Q$2:$Q$107,0))&amp;"","")</f>
        <v/>
      </c>
      <c r="O159" s="9">
        <f>IFERROR(HYPERLINK(INDEX('All products'!$O$2:$O$107,MATCH(154,'All products'!$Q$2:$Q$107,0))),"")</f>
        <v/>
      </c>
    </row>
    <row r="160" ht="15" customHeight="1" s="10">
      <c r="A160" s="9">
        <f>IFERROR(INDEX('All products'!$A$2:$A$107,MATCH(155,'All products'!$Q$2:$Q$107,0))&amp;"","")</f>
        <v/>
      </c>
      <c r="B160" s="9">
        <f>IFERROR(INDEX('All products'!$B$2:$B$107,MATCH(155,'All products'!$Q$2:$Q$107,0))&amp;"","")</f>
        <v/>
      </c>
      <c r="C160" s="9">
        <f>IFERROR(INDEX('All products'!$C$2:$C$107,MATCH(155,'All products'!$Q$2:$Q$107,0))&amp;"","")</f>
        <v/>
      </c>
      <c r="D160" s="9">
        <f>IFERROR(INDEX('All products'!$D$2:$D$107,MATCH(155,'All products'!$Q$2:$Q$107,0))&amp;"","")</f>
        <v/>
      </c>
      <c r="E160" s="9">
        <f>IFERROR(INDEX('All products'!$E$2:$E$107,MATCH(155,'All products'!$Q$2:$Q$107,0))&amp;"","")</f>
        <v/>
      </c>
      <c r="F160" s="9">
        <f>IFERROR(INDEX('All products'!$F$2:$F$107,MATCH(155,'All products'!$Q$2:$Q$107,0))&amp;"","")</f>
        <v/>
      </c>
      <c r="G160" s="9">
        <f>IFERROR(INDEX('All products'!$G$2:$G$107,MATCH(155,'All products'!$Q$2:$Q$107,0))&amp;"","")</f>
        <v/>
      </c>
      <c r="H160" s="9">
        <f>IFERROR(INDEX('All products'!$H$2:$H$107,MATCH(155,'All products'!$Q$2:$Q$107,0))&amp;"","")</f>
        <v/>
      </c>
      <c r="I160" s="9">
        <f>IFERROR(INDEX('All products'!$I$2:$I$107,MATCH(155,'All products'!$Q$2:$Q$107,0))&amp;"","")</f>
        <v/>
      </c>
      <c r="J160" s="9">
        <f>IFERROR(INDEX('All products'!$J$2:$J$107,MATCH(155,'All products'!$Q$2:$Q$107,0))&amp;"","")</f>
        <v/>
      </c>
      <c r="K160" s="9">
        <f>IFERROR(INDEX('All products'!$K$2:$K$107,MATCH(155,'All products'!$Q$2:$Q$107,0))&amp;"","")</f>
        <v/>
      </c>
      <c r="L160" s="9">
        <f>IFERROR(INDEX('All products'!$L$2:$L$107,MATCH(155,'All products'!$Q$2:$Q$107,0))&amp;"","")</f>
        <v/>
      </c>
      <c r="M160" s="9">
        <f>IFERROR(INDEX('All products'!$M$2:$M$107,MATCH(155,'All products'!$Q$2:$Q$107,0))&amp;"","")</f>
        <v/>
      </c>
      <c r="N160" s="9">
        <f>IFERROR(INDEX('All products'!$N$2:$N$107,MATCH(155,'All products'!$Q$2:$Q$107,0))&amp;"","")</f>
        <v/>
      </c>
      <c r="O160" s="9">
        <f>IFERROR(HYPERLINK(INDEX('All products'!$O$2:$O$107,MATCH(155,'All products'!$Q$2:$Q$107,0))),"")</f>
        <v/>
      </c>
    </row>
    <row r="161" ht="15" customHeight="1" s="10">
      <c r="A161" s="9">
        <f>IFERROR(INDEX('All products'!$A$2:$A$107,MATCH(156,'All products'!$Q$2:$Q$107,0))&amp;"","")</f>
        <v/>
      </c>
      <c r="B161" s="9">
        <f>IFERROR(INDEX('All products'!$B$2:$B$107,MATCH(156,'All products'!$Q$2:$Q$107,0))&amp;"","")</f>
        <v/>
      </c>
      <c r="C161" s="9">
        <f>IFERROR(INDEX('All products'!$C$2:$C$107,MATCH(156,'All products'!$Q$2:$Q$107,0))&amp;"","")</f>
        <v/>
      </c>
      <c r="D161" s="9">
        <f>IFERROR(INDEX('All products'!$D$2:$D$107,MATCH(156,'All products'!$Q$2:$Q$107,0))&amp;"","")</f>
        <v/>
      </c>
      <c r="E161" s="9">
        <f>IFERROR(INDEX('All products'!$E$2:$E$107,MATCH(156,'All products'!$Q$2:$Q$107,0))&amp;"","")</f>
        <v/>
      </c>
      <c r="F161" s="9">
        <f>IFERROR(INDEX('All products'!$F$2:$F$107,MATCH(156,'All products'!$Q$2:$Q$107,0))&amp;"","")</f>
        <v/>
      </c>
      <c r="G161" s="9">
        <f>IFERROR(INDEX('All products'!$G$2:$G$107,MATCH(156,'All products'!$Q$2:$Q$107,0))&amp;"","")</f>
        <v/>
      </c>
      <c r="H161" s="9">
        <f>IFERROR(INDEX('All products'!$H$2:$H$107,MATCH(156,'All products'!$Q$2:$Q$107,0))&amp;"","")</f>
        <v/>
      </c>
      <c r="I161" s="9">
        <f>IFERROR(INDEX('All products'!$I$2:$I$107,MATCH(156,'All products'!$Q$2:$Q$107,0))&amp;"","")</f>
        <v/>
      </c>
      <c r="J161" s="9">
        <f>IFERROR(INDEX('All products'!$J$2:$J$107,MATCH(156,'All products'!$Q$2:$Q$107,0))&amp;"","")</f>
        <v/>
      </c>
      <c r="K161" s="9">
        <f>IFERROR(INDEX('All products'!$K$2:$K$107,MATCH(156,'All products'!$Q$2:$Q$107,0))&amp;"","")</f>
        <v/>
      </c>
      <c r="L161" s="9">
        <f>IFERROR(INDEX('All products'!$L$2:$L$107,MATCH(156,'All products'!$Q$2:$Q$107,0))&amp;"","")</f>
        <v/>
      </c>
      <c r="M161" s="9">
        <f>IFERROR(INDEX('All products'!$M$2:$M$107,MATCH(156,'All products'!$Q$2:$Q$107,0))&amp;"","")</f>
        <v/>
      </c>
      <c r="N161" s="9">
        <f>IFERROR(INDEX('All products'!$N$2:$N$107,MATCH(156,'All products'!$Q$2:$Q$107,0))&amp;"","")</f>
        <v/>
      </c>
      <c r="O161" s="9">
        <f>IFERROR(HYPERLINK(INDEX('All products'!$O$2:$O$107,MATCH(156,'All products'!$Q$2:$Q$107,0))),"")</f>
        <v/>
      </c>
    </row>
    <row r="162" ht="15" customHeight="1" s="10">
      <c r="A162" s="9">
        <f>IFERROR(INDEX('All products'!$A$2:$A$107,MATCH(157,'All products'!$Q$2:$Q$107,0))&amp;"","")</f>
        <v/>
      </c>
      <c r="B162" s="9">
        <f>IFERROR(INDEX('All products'!$B$2:$B$107,MATCH(157,'All products'!$Q$2:$Q$107,0))&amp;"","")</f>
        <v/>
      </c>
      <c r="C162" s="9">
        <f>IFERROR(INDEX('All products'!$C$2:$C$107,MATCH(157,'All products'!$Q$2:$Q$107,0))&amp;"","")</f>
        <v/>
      </c>
      <c r="D162" s="9">
        <f>IFERROR(INDEX('All products'!$D$2:$D$107,MATCH(157,'All products'!$Q$2:$Q$107,0))&amp;"","")</f>
        <v/>
      </c>
      <c r="E162" s="9">
        <f>IFERROR(INDEX('All products'!$E$2:$E$107,MATCH(157,'All products'!$Q$2:$Q$107,0))&amp;"","")</f>
        <v/>
      </c>
      <c r="F162" s="9">
        <f>IFERROR(INDEX('All products'!$F$2:$F$107,MATCH(157,'All products'!$Q$2:$Q$107,0))&amp;"","")</f>
        <v/>
      </c>
      <c r="G162" s="9">
        <f>IFERROR(INDEX('All products'!$G$2:$G$107,MATCH(157,'All products'!$Q$2:$Q$107,0))&amp;"","")</f>
        <v/>
      </c>
      <c r="H162" s="9">
        <f>IFERROR(INDEX('All products'!$H$2:$H$107,MATCH(157,'All products'!$Q$2:$Q$107,0))&amp;"","")</f>
        <v/>
      </c>
      <c r="I162" s="9">
        <f>IFERROR(INDEX('All products'!$I$2:$I$107,MATCH(157,'All products'!$Q$2:$Q$107,0))&amp;"","")</f>
        <v/>
      </c>
      <c r="J162" s="9">
        <f>IFERROR(INDEX('All products'!$J$2:$J$107,MATCH(157,'All products'!$Q$2:$Q$107,0))&amp;"","")</f>
        <v/>
      </c>
      <c r="K162" s="9">
        <f>IFERROR(INDEX('All products'!$K$2:$K$107,MATCH(157,'All products'!$Q$2:$Q$107,0))&amp;"","")</f>
        <v/>
      </c>
      <c r="L162" s="9">
        <f>IFERROR(INDEX('All products'!$L$2:$L$107,MATCH(157,'All products'!$Q$2:$Q$107,0))&amp;"","")</f>
        <v/>
      </c>
      <c r="M162" s="9">
        <f>IFERROR(INDEX('All products'!$M$2:$M$107,MATCH(157,'All products'!$Q$2:$Q$107,0))&amp;"","")</f>
        <v/>
      </c>
      <c r="N162" s="9">
        <f>IFERROR(INDEX('All products'!$N$2:$N$107,MATCH(157,'All products'!$Q$2:$Q$107,0))&amp;"","")</f>
        <v/>
      </c>
      <c r="O162" s="9">
        <f>IFERROR(HYPERLINK(INDEX('All products'!$O$2:$O$107,MATCH(157,'All products'!$Q$2:$Q$107,0))),"")</f>
        <v/>
      </c>
    </row>
    <row r="163" ht="15" customHeight="1" s="10">
      <c r="A163" s="9">
        <f>IFERROR(INDEX('All products'!$A$2:$A$107,MATCH(158,'All products'!$Q$2:$Q$107,0))&amp;"","")</f>
        <v/>
      </c>
      <c r="B163" s="9">
        <f>IFERROR(INDEX('All products'!$B$2:$B$107,MATCH(158,'All products'!$Q$2:$Q$107,0))&amp;"","")</f>
        <v/>
      </c>
      <c r="C163" s="9">
        <f>IFERROR(INDEX('All products'!$C$2:$C$107,MATCH(158,'All products'!$Q$2:$Q$107,0))&amp;"","")</f>
        <v/>
      </c>
      <c r="D163" s="9">
        <f>IFERROR(INDEX('All products'!$D$2:$D$107,MATCH(158,'All products'!$Q$2:$Q$107,0))&amp;"","")</f>
        <v/>
      </c>
      <c r="E163" s="9">
        <f>IFERROR(INDEX('All products'!$E$2:$E$107,MATCH(158,'All products'!$Q$2:$Q$107,0))&amp;"","")</f>
        <v/>
      </c>
      <c r="F163" s="9">
        <f>IFERROR(INDEX('All products'!$F$2:$F$107,MATCH(158,'All products'!$Q$2:$Q$107,0))&amp;"","")</f>
        <v/>
      </c>
      <c r="G163" s="9">
        <f>IFERROR(INDEX('All products'!$G$2:$G$107,MATCH(158,'All products'!$Q$2:$Q$107,0))&amp;"","")</f>
        <v/>
      </c>
      <c r="H163" s="9">
        <f>IFERROR(INDEX('All products'!$H$2:$H$107,MATCH(158,'All products'!$Q$2:$Q$107,0))&amp;"","")</f>
        <v/>
      </c>
      <c r="I163" s="9">
        <f>IFERROR(INDEX('All products'!$I$2:$I$107,MATCH(158,'All products'!$Q$2:$Q$107,0))&amp;"","")</f>
        <v/>
      </c>
      <c r="J163" s="9">
        <f>IFERROR(INDEX('All products'!$J$2:$J$107,MATCH(158,'All products'!$Q$2:$Q$107,0))&amp;"","")</f>
        <v/>
      </c>
      <c r="K163" s="9">
        <f>IFERROR(INDEX('All products'!$K$2:$K$107,MATCH(158,'All products'!$Q$2:$Q$107,0))&amp;"","")</f>
        <v/>
      </c>
      <c r="L163" s="9">
        <f>IFERROR(INDEX('All products'!$L$2:$L$107,MATCH(158,'All products'!$Q$2:$Q$107,0))&amp;"","")</f>
        <v/>
      </c>
      <c r="M163" s="9">
        <f>IFERROR(INDEX('All products'!$M$2:$M$107,MATCH(158,'All products'!$Q$2:$Q$107,0))&amp;"","")</f>
        <v/>
      </c>
      <c r="N163" s="9">
        <f>IFERROR(INDEX('All products'!$N$2:$N$107,MATCH(158,'All products'!$Q$2:$Q$107,0))&amp;"","")</f>
        <v/>
      </c>
      <c r="O163" s="9">
        <f>IFERROR(HYPERLINK(INDEX('All products'!$O$2:$O$107,MATCH(158,'All products'!$Q$2:$Q$107,0))),"")</f>
        <v/>
      </c>
    </row>
    <row r="164" ht="15" customHeight="1" s="10">
      <c r="A164" s="9">
        <f>IFERROR(INDEX('All products'!$A$2:$A$107,MATCH(159,'All products'!$Q$2:$Q$107,0))&amp;"","")</f>
        <v/>
      </c>
      <c r="B164" s="9">
        <f>IFERROR(INDEX('All products'!$B$2:$B$107,MATCH(159,'All products'!$Q$2:$Q$107,0))&amp;"","")</f>
        <v/>
      </c>
      <c r="C164" s="9">
        <f>IFERROR(INDEX('All products'!$C$2:$C$107,MATCH(159,'All products'!$Q$2:$Q$107,0))&amp;"","")</f>
        <v/>
      </c>
      <c r="D164" s="9">
        <f>IFERROR(INDEX('All products'!$D$2:$D$107,MATCH(159,'All products'!$Q$2:$Q$107,0))&amp;"","")</f>
        <v/>
      </c>
      <c r="E164" s="9">
        <f>IFERROR(INDEX('All products'!$E$2:$E$107,MATCH(159,'All products'!$Q$2:$Q$107,0))&amp;"","")</f>
        <v/>
      </c>
      <c r="F164" s="9">
        <f>IFERROR(INDEX('All products'!$F$2:$F$107,MATCH(159,'All products'!$Q$2:$Q$107,0))&amp;"","")</f>
        <v/>
      </c>
      <c r="G164" s="9">
        <f>IFERROR(INDEX('All products'!$G$2:$G$107,MATCH(159,'All products'!$Q$2:$Q$107,0))&amp;"","")</f>
        <v/>
      </c>
      <c r="H164" s="9">
        <f>IFERROR(INDEX('All products'!$H$2:$H$107,MATCH(159,'All products'!$Q$2:$Q$107,0))&amp;"","")</f>
        <v/>
      </c>
      <c r="I164" s="9">
        <f>IFERROR(INDEX('All products'!$I$2:$I$107,MATCH(159,'All products'!$Q$2:$Q$107,0))&amp;"","")</f>
        <v/>
      </c>
      <c r="J164" s="9">
        <f>IFERROR(INDEX('All products'!$J$2:$J$107,MATCH(159,'All products'!$Q$2:$Q$107,0))&amp;"","")</f>
        <v/>
      </c>
      <c r="K164" s="9">
        <f>IFERROR(INDEX('All products'!$K$2:$K$107,MATCH(159,'All products'!$Q$2:$Q$107,0))&amp;"","")</f>
        <v/>
      </c>
      <c r="L164" s="9">
        <f>IFERROR(INDEX('All products'!$L$2:$L$107,MATCH(159,'All products'!$Q$2:$Q$107,0))&amp;"","")</f>
        <v/>
      </c>
      <c r="M164" s="9">
        <f>IFERROR(INDEX('All products'!$M$2:$M$107,MATCH(159,'All products'!$Q$2:$Q$107,0))&amp;"","")</f>
        <v/>
      </c>
      <c r="N164" s="9">
        <f>IFERROR(INDEX('All products'!$N$2:$N$107,MATCH(159,'All products'!$Q$2:$Q$107,0))&amp;"","")</f>
        <v/>
      </c>
      <c r="O164" s="9">
        <f>IFERROR(HYPERLINK(INDEX('All products'!$O$2:$O$107,MATCH(159,'All products'!$Q$2:$Q$107,0))),"")</f>
        <v/>
      </c>
    </row>
    <row r="165" ht="15" customHeight="1" s="10">
      <c r="A165" s="9">
        <f>IFERROR(INDEX('All products'!$A$2:$A$107,MATCH(160,'All products'!$Q$2:$Q$107,0))&amp;"","")</f>
        <v/>
      </c>
      <c r="B165" s="9">
        <f>IFERROR(INDEX('All products'!$B$2:$B$107,MATCH(160,'All products'!$Q$2:$Q$107,0))&amp;"","")</f>
        <v/>
      </c>
      <c r="C165" s="9">
        <f>IFERROR(INDEX('All products'!$C$2:$C$107,MATCH(160,'All products'!$Q$2:$Q$107,0))&amp;"","")</f>
        <v/>
      </c>
      <c r="D165" s="9">
        <f>IFERROR(INDEX('All products'!$D$2:$D$107,MATCH(160,'All products'!$Q$2:$Q$107,0))&amp;"","")</f>
        <v/>
      </c>
      <c r="E165" s="9">
        <f>IFERROR(INDEX('All products'!$E$2:$E$107,MATCH(160,'All products'!$Q$2:$Q$107,0))&amp;"","")</f>
        <v/>
      </c>
      <c r="F165" s="9">
        <f>IFERROR(INDEX('All products'!$F$2:$F$107,MATCH(160,'All products'!$Q$2:$Q$107,0))&amp;"","")</f>
        <v/>
      </c>
      <c r="G165" s="9">
        <f>IFERROR(INDEX('All products'!$G$2:$G$107,MATCH(160,'All products'!$Q$2:$Q$107,0))&amp;"","")</f>
        <v/>
      </c>
      <c r="H165" s="9">
        <f>IFERROR(INDEX('All products'!$H$2:$H$107,MATCH(160,'All products'!$Q$2:$Q$107,0))&amp;"","")</f>
        <v/>
      </c>
      <c r="I165" s="9">
        <f>IFERROR(INDEX('All products'!$I$2:$I$107,MATCH(160,'All products'!$Q$2:$Q$107,0))&amp;"","")</f>
        <v/>
      </c>
      <c r="J165" s="9">
        <f>IFERROR(INDEX('All products'!$J$2:$J$107,MATCH(160,'All products'!$Q$2:$Q$107,0))&amp;"","")</f>
        <v/>
      </c>
      <c r="K165" s="9">
        <f>IFERROR(INDEX('All products'!$K$2:$K$107,MATCH(160,'All products'!$Q$2:$Q$107,0))&amp;"","")</f>
        <v/>
      </c>
      <c r="L165" s="9">
        <f>IFERROR(INDEX('All products'!$L$2:$L$107,MATCH(160,'All products'!$Q$2:$Q$107,0))&amp;"","")</f>
        <v/>
      </c>
      <c r="M165" s="9">
        <f>IFERROR(INDEX('All products'!$M$2:$M$107,MATCH(160,'All products'!$Q$2:$Q$107,0))&amp;"","")</f>
        <v/>
      </c>
      <c r="N165" s="9">
        <f>IFERROR(INDEX('All products'!$N$2:$N$107,MATCH(160,'All products'!$Q$2:$Q$107,0))&amp;"","")</f>
        <v/>
      </c>
      <c r="O165" s="9">
        <f>IFERROR(HYPERLINK(INDEX('All products'!$O$2:$O$107,MATCH(160,'All products'!$Q$2:$Q$107,0))),"")</f>
        <v/>
      </c>
    </row>
    <row r="166" ht="15" customHeight="1" s="10">
      <c r="A166" s="9">
        <f>IFERROR(INDEX('All products'!$A$2:$A$107,MATCH(161,'All products'!$Q$2:$Q$107,0))&amp;"","")</f>
        <v/>
      </c>
      <c r="B166" s="9">
        <f>IFERROR(INDEX('All products'!$B$2:$B$107,MATCH(161,'All products'!$Q$2:$Q$107,0))&amp;"","")</f>
        <v/>
      </c>
      <c r="C166" s="9">
        <f>IFERROR(INDEX('All products'!$C$2:$C$107,MATCH(161,'All products'!$Q$2:$Q$107,0))&amp;"","")</f>
        <v/>
      </c>
      <c r="D166" s="9">
        <f>IFERROR(INDEX('All products'!$D$2:$D$107,MATCH(161,'All products'!$Q$2:$Q$107,0))&amp;"","")</f>
        <v/>
      </c>
      <c r="E166" s="9">
        <f>IFERROR(INDEX('All products'!$E$2:$E$107,MATCH(161,'All products'!$Q$2:$Q$107,0))&amp;"","")</f>
        <v/>
      </c>
      <c r="F166" s="9">
        <f>IFERROR(INDEX('All products'!$F$2:$F$107,MATCH(161,'All products'!$Q$2:$Q$107,0))&amp;"","")</f>
        <v/>
      </c>
      <c r="G166" s="9">
        <f>IFERROR(INDEX('All products'!$G$2:$G$107,MATCH(161,'All products'!$Q$2:$Q$107,0))&amp;"","")</f>
        <v/>
      </c>
      <c r="H166" s="9">
        <f>IFERROR(INDEX('All products'!$H$2:$H$107,MATCH(161,'All products'!$Q$2:$Q$107,0))&amp;"","")</f>
        <v/>
      </c>
      <c r="I166" s="9">
        <f>IFERROR(INDEX('All products'!$I$2:$I$107,MATCH(161,'All products'!$Q$2:$Q$107,0))&amp;"","")</f>
        <v/>
      </c>
      <c r="J166" s="9">
        <f>IFERROR(INDEX('All products'!$J$2:$J$107,MATCH(161,'All products'!$Q$2:$Q$107,0))&amp;"","")</f>
        <v/>
      </c>
      <c r="K166" s="9">
        <f>IFERROR(INDEX('All products'!$K$2:$K$107,MATCH(161,'All products'!$Q$2:$Q$107,0))&amp;"","")</f>
        <v/>
      </c>
      <c r="L166" s="9">
        <f>IFERROR(INDEX('All products'!$L$2:$L$107,MATCH(161,'All products'!$Q$2:$Q$107,0))&amp;"","")</f>
        <v/>
      </c>
      <c r="M166" s="9">
        <f>IFERROR(INDEX('All products'!$M$2:$M$107,MATCH(161,'All products'!$Q$2:$Q$107,0))&amp;"","")</f>
        <v/>
      </c>
      <c r="N166" s="9">
        <f>IFERROR(INDEX('All products'!$N$2:$N$107,MATCH(161,'All products'!$Q$2:$Q$107,0))&amp;"","")</f>
        <v/>
      </c>
      <c r="O166" s="9">
        <f>IFERROR(HYPERLINK(INDEX('All products'!$O$2:$O$107,MATCH(161,'All products'!$Q$2:$Q$107,0))),"")</f>
        <v/>
      </c>
    </row>
    <row r="167" ht="15" customHeight="1" s="10">
      <c r="A167" s="9">
        <f>IFERROR(INDEX('All products'!$A$2:$A$107,MATCH(162,'All products'!$Q$2:$Q$107,0))&amp;"","")</f>
        <v/>
      </c>
      <c r="B167" s="9">
        <f>IFERROR(INDEX('All products'!$B$2:$B$107,MATCH(162,'All products'!$Q$2:$Q$107,0))&amp;"","")</f>
        <v/>
      </c>
      <c r="C167" s="9">
        <f>IFERROR(INDEX('All products'!$C$2:$C$107,MATCH(162,'All products'!$Q$2:$Q$107,0))&amp;"","")</f>
        <v/>
      </c>
      <c r="D167" s="9">
        <f>IFERROR(INDEX('All products'!$D$2:$D$107,MATCH(162,'All products'!$Q$2:$Q$107,0))&amp;"","")</f>
        <v/>
      </c>
      <c r="E167" s="9">
        <f>IFERROR(INDEX('All products'!$E$2:$E$107,MATCH(162,'All products'!$Q$2:$Q$107,0))&amp;"","")</f>
        <v/>
      </c>
      <c r="F167" s="9">
        <f>IFERROR(INDEX('All products'!$F$2:$F$107,MATCH(162,'All products'!$Q$2:$Q$107,0))&amp;"","")</f>
        <v/>
      </c>
      <c r="G167" s="9">
        <f>IFERROR(INDEX('All products'!$G$2:$G$107,MATCH(162,'All products'!$Q$2:$Q$107,0))&amp;"","")</f>
        <v/>
      </c>
      <c r="H167" s="9">
        <f>IFERROR(INDEX('All products'!$H$2:$H$107,MATCH(162,'All products'!$Q$2:$Q$107,0))&amp;"","")</f>
        <v/>
      </c>
      <c r="I167" s="9">
        <f>IFERROR(INDEX('All products'!$I$2:$I$107,MATCH(162,'All products'!$Q$2:$Q$107,0))&amp;"","")</f>
        <v/>
      </c>
      <c r="J167" s="9">
        <f>IFERROR(INDEX('All products'!$J$2:$J$107,MATCH(162,'All products'!$Q$2:$Q$107,0))&amp;"","")</f>
        <v/>
      </c>
      <c r="K167" s="9">
        <f>IFERROR(INDEX('All products'!$K$2:$K$107,MATCH(162,'All products'!$Q$2:$Q$107,0))&amp;"","")</f>
        <v/>
      </c>
      <c r="L167" s="9">
        <f>IFERROR(INDEX('All products'!$L$2:$L$107,MATCH(162,'All products'!$Q$2:$Q$107,0))&amp;"","")</f>
        <v/>
      </c>
      <c r="M167" s="9">
        <f>IFERROR(INDEX('All products'!$M$2:$M$107,MATCH(162,'All products'!$Q$2:$Q$107,0))&amp;"","")</f>
        <v/>
      </c>
      <c r="N167" s="9">
        <f>IFERROR(INDEX('All products'!$N$2:$N$107,MATCH(162,'All products'!$Q$2:$Q$107,0))&amp;"","")</f>
        <v/>
      </c>
      <c r="O167" s="9">
        <f>IFERROR(HYPERLINK(INDEX('All products'!$O$2:$O$107,MATCH(162,'All products'!$Q$2:$Q$107,0))),"")</f>
        <v/>
      </c>
    </row>
    <row r="168" ht="15" customHeight="1" s="10">
      <c r="A168" s="9">
        <f>IFERROR(INDEX('All products'!$A$2:$A$107,MATCH(163,'All products'!$Q$2:$Q$107,0))&amp;"","")</f>
        <v/>
      </c>
      <c r="B168" s="9">
        <f>IFERROR(INDEX('All products'!$B$2:$B$107,MATCH(163,'All products'!$Q$2:$Q$107,0))&amp;"","")</f>
        <v/>
      </c>
      <c r="C168" s="9">
        <f>IFERROR(INDEX('All products'!$C$2:$C$107,MATCH(163,'All products'!$Q$2:$Q$107,0))&amp;"","")</f>
        <v/>
      </c>
      <c r="D168" s="9">
        <f>IFERROR(INDEX('All products'!$D$2:$D$107,MATCH(163,'All products'!$Q$2:$Q$107,0))&amp;"","")</f>
        <v/>
      </c>
      <c r="E168" s="9">
        <f>IFERROR(INDEX('All products'!$E$2:$E$107,MATCH(163,'All products'!$Q$2:$Q$107,0))&amp;"","")</f>
        <v/>
      </c>
      <c r="F168" s="9">
        <f>IFERROR(INDEX('All products'!$F$2:$F$107,MATCH(163,'All products'!$Q$2:$Q$107,0))&amp;"","")</f>
        <v/>
      </c>
      <c r="G168" s="9">
        <f>IFERROR(INDEX('All products'!$G$2:$G$107,MATCH(163,'All products'!$Q$2:$Q$107,0))&amp;"","")</f>
        <v/>
      </c>
      <c r="H168" s="9">
        <f>IFERROR(INDEX('All products'!$H$2:$H$107,MATCH(163,'All products'!$Q$2:$Q$107,0))&amp;"","")</f>
        <v/>
      </c>
      <c r="I168" s="9">
        <f>IFERROR(INDEX('All products'!$I$2:$I$107,MATCH(163,'All products'!$Q$2:$Q$107,0))&amp;"","")</f>
        <v/>
      </c>
      <c r="J168" s="9">
        <f>IFERROR(INDEX('All products'!$J$2:$J$107,MATCH(163,'All products'!$Q$2:$Q$107,0))&amp;"","")</f>
        <v/>
      </c>
      <c r="K168" s="9">
        <f>IFERROR(INDEX('All products'!$K$2:$K$107,MATCH(163,'All products'!$Q$2:$Q$107,0))&amp;"","")</f>
        <v/>
      </c>
      <c r="L168" s="9">
        <f>IFERROR(INDEX('All products'!$L$2:$L$107,MATCH(163,'All products'!$Q$2:$Q$107,0))&amp;"","")</f>
        <v/>
      </c>
      <c r="M168" s="9">
        <f>IFERROR(INDEX('All products'!$M$2:$M$107,MATCH(163,'All products'!$Q$2:$Q$107,0))&amp;"","")</f>
        <v/>
      </c>
      <c r="N168" s="9">
        <f>IFERROR(INDEX('All products'!$N$2:$N$107,MATCH(163,'All products'!$Q$2:$Q$107,0))&amp;"","")</f>
        <v/>
      </c>
      <c r="O168" s="9">
        <f>IFERROR(HYPERLINK(INDEX('All products'!$O$2:$O$107,MATCH(163,'All products'!$Q$2:$Q$107,0))),"")</f>
        <v/>
      </c>
    </row>
    <row r="169" ht="15" customHeight="1" s="10">
      <c r="A169" s="9">
        <f>IFERROR(INDEX('All products'!$A$2:$A$107,MATCH(164,'All products'!$Q$2:$Q$107,0))&amp;"","")</f>
        <v/>
      </c>
      <c r="B169" s="9">
        <f>IFERROR(INDEX('All products'!$B$2:$B$107,MATCH(164,'All products'!$Q$2:$Q$107,0))&amp;"","")</f>
        <v/>
      </c>
      <c r="C169" s="9">
        <f>IFERROR(INDEX('All products'!$C$2:$C$107,MATCH(164,'All products'!$Q$2:$Q$107,0))&amp;"","")</f>
        <v/>
      </c>
      <c r="D169" s="9">
        <f>IFERROR(INDEX('All products'!$D$2:$D$107,MATCH(164,'All products'!$Q$2:$Q$107,0))&amp;"","")</f>
        <v/>
      </c>
      <c r="E169" s="9">
        <f>IFERROR(INDEX('All products'!$E$2:$E$107,MATCH(164,'All products'!$Q$2:$Q$107,0))&amp;"","")</f>
        <v/>
      </c>
      <c r="F169" s="9">
        <f>IFERROR(INDEX('All products'!$F$2:$F$107,MATCH(164,'All products'!$Q$2:$Q$107,0))&amp;"","")</f>
        <v/>
      </c>
      <c r="G169" s="9">
        <f>IFERROR(INDEX('All products'!$G$2:$G$107,MATCH(164,'All products'!$Q$2:$Q$107,0))&amp;"","")</f>
        <v/>
      </c>
      <c r="H169" s="9">
        <f>IFERROR(INDEX('All products'!$H$2:$H$107,MATCH(164,'All products'!$Q$2:$Q$107,0))&amp;"","")</f>
        <v/>
      </c>
      <c r="I169" s="9">
        <f>IFERROR(INDEX('All products'!$I$2:$I$107,MATCH(164,'All products'!$Q$2:$Q$107,0))&amp;"","")</f>
        <v/>
      </c>
      <c r="J169" s="9">
        <f>IFERROR(INDEX('All products'!$J$2:$J$107,MATCH(164,'All products'!$Q$2:$Q$107,0))&amp;"","")</f>
        <v/>
      </c>
      <c r="K169" s="9">
        <f>IFERROR(INDEX('All products'!$K$2:$K$107,MATCH(164,'All products'!$Q$2:$Q$107,0))&amp;"","")</f>
        <v/>
      </c>
      <c r="L169" s="9">
        <f>IFERROR(INDEX('All products'!$L$2:$L$107,MATCH(164,'All products'!$Q$2:$Q$107,0))&amp;"","")</f>
        <v/>
      </c>
      <c r="M169" s="9">
        <f>IFERROR(INDEX('All products'!$M$2:$M$107,MATCH(164,'All products'!$Q$2:$Q$107,0))&amp;"","")</f>
        <v/>
      </c>
      <c r="N169" s="9">
        <f>IFERROR(INDEX('All products'!$N$2:$N$107,MATCH(164,'All products'!$Q$2:$Q$107,0))&amp;"","")</f>
        <v/>
      </c>
      <c r="O169" s="9">
        <f>IFERROR(HYPERLINK(INDEX('All products'!$O$2:$O$107,MATCH(164,'All products'!$Q$2:$Q$107,0))),"")</f>
        <v/>
      </c>
    </row>
    <row r="170" ht="15" customHeight="1" s="10">
      <c r="A170" s="9">
        <f>IFERROR(INDEX('All products'!$A$2:$A$107,MATCH(165,'All products'!$Q$2:$Q$107,0))&amp;"","")</f>
        <v/>
      </c>
      <c r="B170" s="9">
        <f>IFERROR(INDEX('All products'!$B$2:$B$107,MATCH(165,'All products'!$Q$2:$Q$107,0))&amp;"","")</f>
        <v/>
      </c>
      <c r="C170" s="9">
        <f>IFERROR(INDEX('All products'!$C$2:$C$107,MATCH(165,'All products'!$Q$2:$Q$107,0))&amp;"","")</f>
        <v/>
      </c>
      <c r="D170" s="9">
        <f>IFERROR(INDEX('All products'!$D$2:$D$107,MATCH(165,'All products'!$Q$2:$Q$107,0))&amp;"","")</f>
        <v/>
      </c>
      <c r="E170" s="9">
        <f>IFERROR(INDEX('All products'!$E$2:$E$107,MATCH(165,'All products'!$Q$2:$Q$107,0))&amp;"","")</f>
        <v/>
      </c>
      <c r="F170" s="9">
        <f>IFERROR(INDEX('All products'!$F$2:$F$107,MATCH(165,'All products'!$Q$2:$Q$107,0))&amp;"","")</f>
        <v/>
      </c>
      <c r="G170" s="9">
        <f>IFERROR(INDEX('All products'!$G$2:$G$107,MATCH(165,'All products'!$Q$2:$Q$107,0))&amp;"","")</f>
        <v/>
      </c>
      <c r="H170" s="9">
        <f>IFERROR(INDEX('All products'!$H$2:$H$107,MATCH(165,'All products'!$Q$2:$Q$107,0))&amp;"","")</f>
        <v/>
      </c>
      <c r="I170" s="9">
        <f>IFERROR(INDEX('All products'!$I$2:$I$107,MATCH(165,'All products'!$Q$2:$Q$107,0))&amp;"","")</f>
        <v/>
      </c>
      <c r="J170" s="9">
        <f>IFERROR(INDEX('All products'!$J$2:$J$107,MATCH(165,'All products'!$Q$2:$Q$107,0))&amp;"","")</f>
        <v/>
      </c>
      <c r="K170" s="9">
        <f>IFERROR(INDEX('All products'!$K$2:$K$107,MATCH(165,'All products'!$Q$2:$Q$107,0))&amp;"","")</f>
        <v/>
      </c>
      <c r="L170" s="9">
        <f>IFERROR(INDEX('All products'!$L$2:$L$107,MATCH(165,'All products'!$Q$2:$Q$107,0))&amp;"","")</f>
        <v/>
      </c>
      <c r="M170" s="9">
        <f>IFERROR(INDEX('All products'!$M$2:$M$107,MATCH(165,'All products'!$Q$2:$Q$107,0))&amp;"","")</f>
        <v/>
      </c>
      <c r="N170" s="9">
        <f>IFERROR(INDEX('All products'!$N$2:$N$107,MATCH(165,'All products'!$Q$2:$Q$107,0))&amp;"","")</f>
        <v/>
      </c>
      <c r="O170" s="9">
        <f>IFERROR(HYPERLINK(INDEX('All products'!$O$2:$O$107,MATCH(165,'All products'!$Q$2:$Q$107,0))),"")</f>
        <v/>
      </c>
    </row>
    <row r="171" ht="15" customHeight="1" s="10">
      <c r="A171" s="9">
        <f>IFERROR(INDEX('All products'!$A$2:$A$107,MATCH(166,'All products'!$Q$2:$Q$107,0))&amp;"","")</f>
        <v/>
      </c>
      <c r="B171" s="9">
        <f>IFERROR(INDEX('All products'!$B$2:$B$107,MATCH(166,'All products'!$Q$2:$Q$107,0))&amp;"","")</f>
        <v/>
      </c>
      <c r="C171" s="9">
        <f>IFERROR(INDEX('All products'!$C$2:$C$107,MATCH(166,'All products'!$Q$2:$Q$107,0))&amp;"","")</f>
        <v/>
      </c>
      <c r="D171" s="9">
        <f>IFERROR(INDEX('All products'!$D$2:$D$107,MATCH(166,'All products'!$Q$2:$Q$107,0))&amp;"","")</f>
        <v/>
      </c>
      <c r="E171" s="9">
        <f>IFERROR(INDEX('All products'!$E$2:$E$107,MATCH(166,'All products'!$Q$2:$Q$107,0))&amp;"","")</f>
        <v/>
      </c>
      <c r="F171" s="9">
        <f>IFERROR(INDEX('All products'!$F$2:$F$107,MATCH(166,'All products'!$Q$2:$Q$107,0))&amp;"","")</f>
        <v/>
      </c>
      <c r="G171" s="9">
        <f>IFERROR(INDEX('All products'!$G$2:$G$107,MATCH(166,'All products'!$Q$2:$Q$107,0))&amp;"","")</f>
        <v/>
      </c>
      <c r="H171" s="9">
        <f>IFERROR(INDEX('All products'!$H$2:$H$107,MATCH(166,'All products'!$Q$2:$Q$107,0))&amp;"","")</f>
        <v/>
      </c>
      <c r="I171" s="9">
        <f>IFERROR(INDEX('All products'!$I$2:$I$107,MATCH(166,'All products'!$Q$2:$Q$107,0))&amp;"","")</f>
        <v/>
      </c>
      <c r="J171" s="9">
        <f>IFERROR(INDEX('All products'!$J$2:$J$107,MATCH(166,'All products'!$Q$2:$Q$107,0))&amp;"","")</f>
        <v/>
      </c>
      <c r="K171" s="9">
        <f>IFERROR(INDEX('All products'!$K$2:$K$107,MATCH(166,'All products'!$Q$2:$Q$107,0))&amp;"","")</f>
        <v/>
      </c>
      <c r="L171" s="9">
        <f>IFERROR(INDEX('All products'!$L$2:$L$107,MATCH(166,'All products'!$Q$2:$Q$107,0))&amp;"","")</f>
        <v/>
      </c>
      <c r="M171" s="9">
        <f>IFERROR(INDEX('All products'!$M$2:$M$107,MATCH(166,'All products'!$Q$2:$Q$107,0))&amp;"","")</f>
        <v/>
      </c>
      <c r="N171" s="9">
        <f>IFERROR(INDEX('All products'!$N$2:$N$107,MATCH(166,'All products'!$Q$2:$Q$107,0))&amp;"","")</f>
        <v/>
      </c>
      <c r="O171" s="9">
        <f>IFERROR(HYPERLINK(INDEX('All products'!$O$2:$O$107,MATCH(166,'All products'!$Q$2:$Q$107,0))),"")</f>
        <v/>
      </c>
    </row>
    <row r="172" ht="15" customHeight="1" s="10">
      <c r="A172" s="9">
        <f>IFERROR(INDEX('All products'!$A$2:$A$107,MATCH(167,'All products'!$Q$2:$Q$107,0))&amp;"","")</f>
        <v/>
      </c>
      <c r="B172" s="9">
        <f>IFERROR(INDEX('All products'!$B$2:$B$107,MATCH(167,'All products'!$Q$2:$Q$107,0))&amp;"","")</f>
        <v/>
      </c>
      <c r="C172" s="9">
        <f>IFERROR(INDEX('All products'!$C$2:$C$107,MATCH(167,'All products'!$Q$2:$Q$107,0))&amp;"","")</f>
        <v/>
      </c>
      <c r="D172" s="9">
        <f>IFERROR(INDEX('All products'!$D$2:$D$107,MATCH(167,'All products'!$Q$2:$Q$107,0))&amp;"","")</f>
        <v/>
      </c>
      <c r="E172" s="9">
        <f>IFERROR(INDEX('All products'!$E$2:$E$107,MATCH(167,'All products'!$Q$2:$Q$107,0))&amp;"","")</f>
        <v/>
      </c>
      <c r="F172" s="9">
        <f>IFERROR(INDEX('All products'!$F$2:$F$107,MATCH(167,'All products'!$Q$2:$Q$107,0))&amp;"","")</f>
        <v/>
      </c>
      <c r="G172" s="9">
        <f>IFERROR(INDEX('All products'!$G$2:$G$107,MATCH(167,'All products'!$Q$2:$Q$107,0))&amp;"","")</f>
        <v/>
      </c>
      <c r="H172" s="9">
        <f>IFERROR(INDEX('All products'!$H$2:$H$107,MATCH(167,'All products'!$Q$2:$Q$107,0))&amp;"","")</f>
        <v/>
      </c>
      <c r="I172" s="9">
        <f>IFERROR(INDEX('All products'!$I$2:$I$107,MATCH(167,'All products'!$Q$2:$Q$107,0))&amp;"","")</f>
        <v/>
      </c>
      <c r="J172" s="9">
        <f>IFERROR(INDEX('All products'!$J$2:$J$107,MATCH(167,'All products'!$Q$2:$Q$107,0))&amp;"","")</f>
        <v/>
      </c>
      <c r="K172" s="9">
        <f>IFERROR(INDEX('All products'!$K$2:$K$107,MATCH(167,'All products'!$Q$2:$Q$107,0))&amp;"","")</f>
        <v/>
      </c>
      <c r="L172" s="9">
        <f>IFERROR(INDEX('All products'!$L$2:$L$107,MATCH(167,'All products'!$Q$2:$Q$107,0))&amp;"","")</f>
        <v/>
      </c>
      <c r="M172" s="9">
        <f>IFERROR(INDEX('All products'!$M$2:$M$107,MATCH(167,'All products'!$Q$2:$Q$107,0))&amp;"","")</f>
        <v/>
      </c>
      <c r="N172" s="9">
        <f>IFERROR(INDEX('All products'!$N$2:$N$107,MATCH(167,'All products'!$Q$2:$Q$107,0))&amp;"","")</f>
        <v/>
      </c>
      <c r="O172" s="9">
        <f>IFERROR(HYPERLINK(INDEX('All products'!$O$2:$O$107,MATCH(167,'All products'!$Q$2:$Q$107,0))),"")</f>
        <v/>
      </c>
    </row>
    <row r="173" ht="15" customHeight="1" s="10">
      <c r="A173" s="9">
        <f>IFERROR(INDEX('All products'!$A$2:$A$107,MATCH(168,'All products'!$Q$2:$Q$107,0))&amp;"","")</f>
        <v/>
      </c>
      <c r="B173" s="9">
        <f>IFERROR(INDEX('All products'!$B$2:$B$107,MATCH(168,'All products'!$Q$2:$Q$107,0))&amp;"","")</f>
        <v/>
      </c>
      <c r="C173" s="9">
        <f>IFERROR(INDEX('All products'!$C$2:$C$107,MATCH(168,'All products'!$Q$2:$Q$107,0))&amp;"","")</f>
        <v/>
      </c>
      <c r="D173" s="9">
        <f>IFERROR(INDEX('All products'!$D$2:$D$107,MATCH(168,'All products'!$Q$2:$Q$107,0))&amp;"","")</f>
        <v/>
      </c>
      <c r="E173" s="9">
        <f>IFERROR(INDEX('All products'!$E$2:$E$107,MATCH(168,'All products'!$Q$2:$Q$107,0))&amp;"","")</f>
        <v/>
      </c>
      <c r="F173" s="9">
        <f>IFERROR(INDEX('All products'!$F$2:$F$107,MATCH(168,'All products'!$Q$2:$Q$107,0))&amp;"","")</f>
        <v/>
      </c>
      <c r="G173" s="9">
        <f>IFERROR(INDEX('All products'!$G$2:$G$107,MATCH(168,'All products'!$Q$2:$Q$107,0))&amp;"","")</f>
        <v/>
      </c>
      <c r="H173" s="9">
        <f>IFERROR(INDEX('All products'!$H$2:$H$107,MATCH(168,'All products'!$Q$2:$Q$107,0))&amp;"","")</f>
        <v/>
      </c>
      <c r="I173" s="9">
        <f>IFERROR(INDEX('All products'!$I$2:$I$107,MATCH(168,'All products'!$Q$2:$Q$107,0))&amp;"","")</f>
        <v/>
      </c>
      <c r="J173" s="9">
        <f>IFERROR(INDEX('All products'!$J$2:$J$107,MATCH(168,'All products'!$Q$2:$Q$107,0))&amp;"","")</f>
        <v/>
      </c>
      <c r="K173" s="9">
        <f>IFERROR(INDEX('All products'!$K$2:$K$107,MATCH(168,'All products'!$Q$2:$Q$107,0))&amp;"","")</f>
        <v/>
      </c>
      <c r="L173" s="9">
        <f>IFERROR(INDEX('All products'!$L$2:$L$107,MATCH(168,'All products'!$Q$2:$Q$107,0))&amp;"","")</f>
        <v/>
      </c>
      <c r="M173" s="9">
        <f>IFERROR(INDEX('All products'!$M$2:$M$107,MATCH(168,'All products'!$Q$2:$Q$107,0))&amp;"","")</f>
        <v/>
      </c>
      <c r="N173" s="9">
        <f>IFERROR(INDEX('All products'!$N$2:$N$107,MATCH(168,'All products'!$Q$2:$Q$107,0))&amp;"","")</f>
        <v/>
      </c>
      <c r="O173" s="9">
        <f>IFERROR(HYPERLINK(INDEX('All products'!$O$2:$O$107,MATCH(168,'All products'!$Q$2:$Q$107,0))),"")</f>
        <v/>
      </c>
    </row>
    <row r="174" ht="15" customHeight="1" s="10">
      <c r="A174" s="9">
        <f>IFERROR(INDEX('All products'!$A$2:$A$107,MATCH(169,'All products'!$Q$2:$Q$107,0))&amp;"","")</f>
        <v/>
      </c>
      <c r="B174" s="9">
        <f>IFERROR(INDEX('All products'!$B$2:$B$107,MATCH(169,'All products'!$Q$2:$Q$107,0))&amp;"","")</f>
        <v/>
      </c>
      <c r="C174" s="9">
        <f>IFERROR(INDEX('All products'!$C$2:$C$107,MATCH(169,'All products'!$Q$2:$Q$107,0))&amp;"","")</f>
        <v/>
      </c>
      <c r="D174" s="9">
        <f>IFERROR(INDEX('All products'!$D$2:$D$107,MATCH(169,'All products'!$Q$2:$Q$107,0))&amp;"","")</f>
        <v/>
      </c>
      <c r="E174" s="9">
        <f>IFERROR(INDEX('All products'!$E$2:$E$107,MATCH(169,'All products'!$Q$2:$Q$107,0))&amp;"","")</f>
        <v/>
      </c>
      <c r="F174" s="9">
        <f>IFERROR(INDEX('All products'!$F$2:$F$107,MATCH(169,'All products'!$Q$2:$Q$107,0))&amp;"","")</f>
        <v/>
      </c>
      <c r="G174" s="9">
        <f>IFERROR(INDEX('All products'!$G$2:$G$107,MATCH(169,'All products'!$Q$2:$Q$107,0))&amp;"","")</f>
        <v/>
      </c>
      <c r="H174" s="9">
        <f>IFERROR(INDEX('All products'!$H$2:$H$107,MATCH(169,'All products'!$Q$2:$Q$107,0))&amp;"","")</f>
        <v/>
      </c>
      <c r="I174" s="9">
        <f>IFERROR(INDEX('All products'!$I$2:$I$107,MATCH(169,'All products'!$Q$2:$Q$107,0))&amp;"","")</f>
        <v/>
      </c>
      <c r="J174" s="9">
        <f>IFERROR(INDEX('All products'!$J$2:$J$107,MATCH(169,'All products'!$Q$2:$Q$107,0))&amp;"","")</f>
        <v/>
      </c>
      <c r="K174" s="9">
        <f>IFERROR(INDEX('All products'!$K$2:$K$107,MATCH(169,'All products'!$Q$2:$Q$107,0))&amp;"","")</f>
        <v/>
      </c>
      <c r="L174" s="9">
        <f>IFERROR(INDEX('All products'!$L$2:$L$107,MATCH(169,'All products'!$Q$2:$Q$107,0))&amp;"","")</f>
        <v/>
      </c>
      <c r="M174" s="9">
        <f>IFERROR(INDEX('All products'!$M$2:$M$107,MATCH(169,'All products'!$Q$2:$Q$107,0))&amp;"","")</f>
        <v/>
      </c>
      <c r="N174" s="9">
        <f>IFERROR(INDEX('All products'!$N$2:$N$107,MATCH(169,'All products'!$Q$2:$Q$107,0))&amp;"","")</f>
        <v/>
      </c>
      <c r="O174" s="9">
        <f>IFERROR(HYPERLINK(INDEX('All products'!$O$2:$O$107,MATCH(169,'All products'!$Q$2:$Q$107,0))),"")</f>
        <v/>
      </c>
    </row>
    <row r="175" ht="15" customHeight="1" s="10">
      <c r="A175" s="9">
        <f>IFERROR(INDEX('All products'!$A$2:$A$107,MATCH(170,'All products'!$Q$2:$Q$107,0))&amp;"","")</f>
        <v/>
      </c>
      <c r="B175" s="9">
        <f>IFERROR(INDEX('All products'!$B$2:$B$107,MATCH(170,'All products'!$Q$2:$Q$107,0))&amp;"","")</f>
        <v/>
      </c>
      <c r="C175" s="9">
        <f>IFERROR(INDEX('All products'!$C$2:$C$107,MATCH(170,'All products'!$Q$2:$Q$107,0))&amp;"","")</f>
        <v/>
      </c>
      <c r="D175" s="9">
        <f>IFERROR(INDEX('All products'!$D$2:$D$107,MATCH(170,'All products'!$Q$2:$Q$107,0))&amp;"","")</f>
        <v/>
      </c>
      <c r="E175" s="9">
        <f>IFERROR(INDEX('All products'!$E$2:$E$107,MATCH(170,'All products'!$Q$2:$Q$107,0))&amp;"","")</f>
        <v/>
      </c>
      <c r="F175" s="9">
        <f>IFERROR(INDEX('All products'!$F$2:$F$107,MATCH(170,'All products'!$Q$2:$Q$107,0))&amp;"","")</f>
        <v/>
      </c>
      <c r="G175" s="9">
        <f>IFERROR(INDEX('All products'!$G$2:$G$107,MATCH(170,'All products'!$Q$2:$Q$107,0))&amp;"","")</f>
        <v/>
      </c>
      <c r="H175" s="9">
        <f>IFERROR(INDEX('All products'!$H$2:$H$107,MATCH(170,'All products'!$Q$2:$Q$107,0))&amp;"","")</f>
        <v/>
      </c>
      <c r="I175" s="9">
        <f>IFERROR(INDEX('All products'!$I$2:$I$107,MATCH(170,'All products'!$Q$2:$Q$107,0))&amp;"","")</f>
        <v/>
      </c>
      <c r="J175" s="9">
        <f>IFERROR(INDEX('All products'!$J$2:$J$107,MATCH(170,'All products'!$Q$2:$Q$107,0))&amp;"","")</f>
        <v/>
      </c>
      <c r="K175" s="9">
        <f>IFERROR(INDEX('All products'!$K$2:$K$107,MATCH(170,'All products'!$Q$2:$Q$107,0))&amp;"","")</f>
        <v/>
      </c>
      <c r="L175" s="9">
        <f>IFERROR(INDEX('All products'!$L$2:$L$107,MATCH(170,'All products'!$Q$2:$Q$107,0))&amp;"","")</f>
        <v/>
      </c>
      <c r="M175" s="9">
        <f>IFERROR(INDEX('All products'!$M$2:$M$107,MATCH(170,'All products'!$Q$2:$Q$107,0))&amp;"","")</f>
        <v/>
      </c>
      <c r="N175" s="9">
        <f>IFERROR(INDEX('All products'!$N$2:$N$107,MATCH(170,'All products'!$Q$2:$Q$107,0))&amp;"","")</f>
        <v/>
      </c>
      <c r="O175" s="9">
        <f>IFERROR(HYPERLINK(INDEX('All products'!$O$2:$O$107,MATCH(170,'All products'!$Q$2:$Q$107,0))),"")</f>
        <v/>
      </c>
    </row>
    <row r="176" ht="15" customHeight="1" s="10">
      <c r="A176" s="9">
        <f>IFERROR(INDEX('All products'!$A$2:$A$107,MATCH(171,'All products'!$Q$2:$Q$107,0))&amp;"","")</f>
        <v/>
      </c>
      <c r="B176" s="9">
        <f>IFERROR(INDEX('All products'!$B$2:$B$107,MATCH(171,'All products'!$Q$2:$Q$107,0))&amp;"","")</f>
        <v/>
      </c>
      <c r="C176" s="9">
        <f>IFERROR(INDEX('All products'!$C$2:$C$107,MATCH(171,'All products'!$Q$2:$Q$107,0))&amp;"","")</f>
        <v/>
      </c>
      <c r="D176" s="9">
        <f>IFERROR(INDEX('All products'!$D$2:$D$107,MATCH(171,'All products'!$Q$2:$Q$107,0))&amp;"","")</f>
        <v/>
      </c>
      <c r="E176" s="9">
        <f>IFERROR(INDEX('All products'!$E$2:$E$107,MATCH(171,'All products'!$Q$2:$Q$107,0))&amp;"","")</f>
        <v/>
      </c>
      <c r="F176" s="9">
        <f>IFERROR(INDEX('All products'!$F$2:$F$107,MATCH(171,'All products'!$Q$2:$Q$107,0))&amp;"","")</f>
        <v/>
      </c>
      <c r="G176" s="9">
        <f>IFERROR(INDEX('All products'!$G$2:$G$107,MATCH(171,'All products'!$Q$2:$Q$107,0))&amp;"","")</f>
        <v/>
      </c>
      <c r="H176" s="9">
        <f>IFERROR(INDEX('All products'!$H$2:$H$107,MATCH(171,'All products'!$Q$2:$Q$107,0))&amp;"","")</f>
        <v/>
      </c>
      <c r="I176" s="9">
        <f>IFERROR(INDEX('All products'!$I$2:$I$107,MATCH(171,'All products'!$Q$2:$Q$107,0))&amp;"","")</f>
        <v/>
      </c>
      <c r="J176" s="9">
        <f>IFERROR(INDEX('All products'!$J$2:$J$107,MATCH(171,'All products'!$Q$2:$Q$107,0))&amp;"","")</f>
        <v/>
      </c>
      <c r="K176" s="9">
        <f>IFERROR(INDEX('All products'!$K$2:$K$107,MATCH(171,'All products'!$Q$2:$Q$107,0))&amp;"","")</f>
        <v/>
      </c>
      <c r="L176" s="9">
        <f>IFERROR(INDEX('All products'!$L$2:$L$107,MATCH(171,'All products'!$Q$2:$Q$107,0))&amp;"","")</f>
        <v/>
      </c>
      <c r="M176" s="9">
        <f>IFERROR(INDEX('All products'!$M$2:$M$107,MATCH(171,'All products'!$Q$2:$Q$107,0))&amp;"","")</f>
        <v/>
      </c>
      <c r="N176" s="9">
        <f>IFERROR(INDEX('All products'!$N$2:$N$107,MATCH(171,'All products'!$Q$2:$Q$107,0))&amp;"","")</f>
        <v/>
      </c>
      <c r="O176" s="9">
        <f>IFERROR(HYPERLINK(INDEX('All products'!$O$2:$O$107,MATCH(171,'All products'!$Q$2:$Q$107,0))),"")</f>
        <v/>
      </c>
    </row>
    <row r="177" ht="15" customHeight="1" s="10">
      <c r="A177" s="9">
        <f>IFERROR(INDEX('All products'!$A$2:$A$107,MATCH(172,'All products'!$Q$2:$Q$107,0))&amp;"","")</f>
        <v/>
      </c>
      <c r="B177" s="9">
        <f>IFERROR(INDEX('All products'!$B$2:$B$107,MATCH(172,'All products'!$Q$2:$Q$107,0))&amp;"","")</f>
        <v/>
      </c>
      <c r="C177" s="9">
        <f>IFERROR(INDEX('All products'!$C$2:$C$107,MATCH(172,'All products'!$Q$2:$Q$107,0))&amp;"","")</f>
        <v/>
      </c>
      <c r="D177" s="9">
        <f>IFERROR(INDEX('All products'!$D$2:$D$107,MATCH(172,'All products'!$Q$2:$Q$107,0))&amp;"","")</f>
        <v/>
      </c>
      <c r="E177" s="9">
        <f>IFERROR(INDEX('All products'!$E$2:$E$107,MATCH(172,'All products'!$Q$2:$Q$107,0))&amp;"","")</f>
        <v/>
      </c>
      <c r="F177" s="9">
        <f>IFERROR(INDEX('All products'!$F$2:$F$107,MATCH(172,'All products'!$Q$2:$Q$107,0))&amp;"","")</f>
        <v/>
      </c>
      <c r="G177" s="9">
        <f>IFERROR(INDEX('All products'!$G$2:$G$107,MATCH(172,'All products'!$Q$2:$Q$107,0))&amp;"","")</f>
        <v/>
      </c>
      <c r="H177" s="9">
        <f>IFERROR(INDEX('All products'!$H$2:$H$107,MATCH(172,'All products'!$Q$2:$Q$107,0))&amp;"","")</f>
        <v/>
      </c>
      <c r="I177" s="9">
        <f>IFERROR(INDEX('All products'!$I$2:$I$107,MATCH(172,'All products'!$Q$2:$Q$107,0))&amp;"","")</f>
        <v/>
      </c>
      <c r="J177" s="9">
        <f>IFERROR(INDEX('All products'!$J$2:$J$107,MATCH(172,'All products'!$Q$2:$Q$107,0))&amp;"","")</f>
        <v/>
      </c>
      <c r="K177" s="9">
        <f>IFERROR(INDEX('All products'!$K$2:$K$107,MATCH(172,'All products'!$Q$2:$Q$107,0))&amp;"","")</f>
        <v/>
      </c>
      <c r="L177" s="9">
        <f>IFERROR(INDEX('All products'!$L$2:$L$107,MATCH(172,'All products'!$Q$2:$Q$107,0))&amp;"","")</f>
        <v/>
      </c>
      <c r="M177" s="9">
        <f>IFERROR(INDEX('All products'!$M$2:$M$107,MATCH(172,'All products'!$Q$2:$Q$107,0))&amp;"","")</f>
        <v/>
      </c>
      <c r="N177" s="9">
        <f>IFERROR(INDEX('All products'!$N$2:$N$107,MATCH(172,'All products'!$Q$2:$Q$107,0))&amp;"","")</f>
        <v/>
      </c>
      <c r="O177" s="9">
        <f>IFERROR(HYPERLINK(INDEX('All products'!$O$2:$O$107,MATCH(172,'All products'!$Q$2:$Q$107,0))),"")</f>
        <v/>
      </c>
    </row>
    <row r="178" ht="15" customHeight="1" s="10">
      <c r="A178" s="9">
        <f>IFERROR(INDEX('All products'!$A$2:$A$107,MATCH(173,'All products'!$Q$2:$Q$107,0))&amp;"","")</f>
        <v/>
      </c>
      <c r="B178" s="9">
        <f>IFERROR(INDEX('All products'!$B$2:$B$107,MATCH(173,'All products'!$Q$2:$Q$107,0))&amp;"","")</f>
        <v/>
      </c>
      <c r="C178" s="9">
        <f>IFERROR(INDEX('All products'!$C$2:$C$107,MATCH(173,'All products'!$Q$2:$Q$107,0))&amp;"","")</f>
        <v/>
      </c>
      <c r="D178" s="9">
        <f>IFERROR(INDEX('All products'!$D$2:$D$107,MATCH(173,'All products'!$Q$2:$Q$107,0))&amp;"","")</f>
        <v/>
      </c>
      <c r="E178" s="9">
        <f>IFERROR(INDEX('All products'!$E$2:$E$107,MATCH(173,'All products'!$Q$2:$Q$107,0))&amp;"","")</f>
        <v/>
      </c>
      <c r="F178" s="9">
        <f>IFERROR(INDEX('All products'!$F$2:$F$107,MATCH(173,'All products'!$Q$2:$Q$107,0))&amp;"","")</f>
        <v/>
      </c>
      <c r="G178" s="9">
        <f>IFERROR(INDEX('All products'!$G$2:$G$107,MATCH(173,'All products'!$Q$2:$Q$107,0))&amp;"","")</f>
        <v/>
      </c>
      <c r="H178" s="9">
        <f>IFERROR(INDEX('All products'!$H$2:$H$107,MATCH(173,'All products'!$Q$2:$Q$107,0))&amp;"","")</f>
        <v/>
      </c>
      <c r="I178" s="9">
        <f>IFERROR(INDEX('All products'!$I$2:$I$107,MATCH(173,'All products'!$Q$2:$Q$107,0))&amp;"","")</f>
        <v/>
      </c>
      <c r="J178" s="9">
        <f>IFERROR(INDEX('All products'!$J$2:$J$107,MATCH(173,'All products'!$Q$2:$Q$107,0))&amp;"","")</f>
        <v/>
      </c>
      <c r="K178" s="9">
        <f>IFERROR(INDEX('All products'!$K$2:$K$107,MATCH(173,'All products'!$Q$2:$Q$107,0))&amp;"","")</f>
        <v/>
      </c>
      <c r="L178" s="9">
        <f>IFERROR(INDEX('All products'!$L$2:$L$107,MATCH(173,'All products'!$Q$2:$Q$107,0))&amp;"","")</f>
        <v/>
      </c>
      <c r="M178" s="9">
        <f>IFERROR(INDEX('All products'!$M$2:$M$107,MATCH(173,'All products'!$Q$2:$Q$107,0))&amp;"","")</f>
        <v/>
      </c>
      <c r="N178" s="9">
        <f>IFERROR(INDEX('All products'!$N$2:$N$107,MATCH(173,'All products'!$Q$2:$Q$107,0))&amp;"","")</f>
        <v/>
      </c>
      <c r="O178" s="9">
        <f>IFERROR(HYPERLINK(INDEX('All products'!$O$2:$O$107,MATCH(173,'All products'!$Q$2:$Q$107,0))),"")</f>
        <v/>
      </c>
    </row>
    <row r="179" ht="15" customHeight="1" s="10">
      <c r="A179" s="9">
        <f>IFERROR(INDEX('All products'!$A$2:$A$107,MATCH(174,'All products'!$Q$2:$Q$107,0))&amp;"","")</f>
        <v/>
      </c>
      <c r="B179" s="9">
        <f>IFERROR(INDEX('All products'!$B$2:$B$107,MATCH(174,'All products'!$Q$2:$Q$107,0))&amp;"","")</f>
        <v/>
      </c>
      <c r="C179" s="9">
        <f>IFERROR(INDEX('All products'!$C$2:$C$107,MATCH(174,'All products'!$Q$2:$Q$107,0))&amp;"","")</f>
        <v/>
      </c>
      <c r="D179" s="9">
        <f>IFERROR(INDEX('All products'!$D$2:$D$107,MATCH(174,'All products'!$Q$2:$Q$107,0))&amp;"","")</f>
        <v/>
      </c>
      <c r="E179" s="9">
        <f>IFERROR(INDEX('All products'!$E$2:$E$107,MATCH(174,'All products'!$Q$2:$Q$107,0))&amp;"","")</f>
        <v/>
      </c>
      <c r="F179" s="9">
        <f>IFERROR(INDEX('All products'!$F$2:$F$107,MATCH(174,'All products'!$Q$2:$Q$107,0))&amp;"","")</f>
        <v/>
      </c>
      <c r="G179" s="9">
        <f>IFERROR(INDEX('All products'!$G$2:$G$107,MATCH(174,'All products'!$Q$2:$Q$107,0))&amp;"","")</f>
        <v/>
      </c>
      <c r="H179" s="9">
        <f>IFERROR(INDEX('All products'!$H$2:$H$107,MATCH(174,'All products'!$Q$2:$Q$107,0))&amp;"","")</f>
        <v/>
      </c>
      <c r="I179" s="9">
        <f>IFERROR(INDEX('All products'!$I$2:$I$107,MATCH(174,'All products'!$Q$2:$Q$107,0))&amp;"","")</f>
        <v/>
      </c>
      <c r="J179" s="9">
        <f>IFERROR(INDEX('All products'!$J$2:$J$107,MATCH(174,'All products'!$Q$2:$Q$107,0))&amp;"","")</f>
        <v/>
      </c>
      <c r="K179" s="9">
        <f>IFERROR(INDEX('All products'!$K$2:$K$107,MATCH(174,'All products'!$Q$2:$Q$107,0))&amp;"","")</f>
        <v/>
      </c>
      <c r="L179" s="9">
        <f>IFERROR(INDEX('All products'!$L$2:$L$107,MATCH(174,'All products'!$Q$2:$Q$107,0))&amp;"","")</f>
        <v/>
      </c>
      <c r="M179" s="9">
        <f>IFERROR(INDEX('All products'!$M$2:$M$107,MATCH(174,'All products'!$Q$2:$Q$107,0))&amp;"","")</f>
        <v/>
      </c>
      <c r="N179" s="9">
        <f>IFERROR(INDEX('All products'!$N$2:$N$107,MATCH(174,'All products'!$Q$2:$Q$107,0))&amp;"","")</f>
        <v/>
      </c>
      <c r="O179" s="9">
        <f>IFERROR(HYPERLINK(INDEX('All products'!$O$2:$O$107,MATCH(174,'All products'!$Q$2:$Q$107,0))),"")</f>
        <v/>
      </c>
    </row>
    <row r="180" ht="15" customHeight="1" s="10">
      <c r="A180" s="9">
        <f>IFERROR(INDEX('All products'!$A$2:$A$107,MATCH(175,'All products'!$Q$2:$Q$107,0))&amp;"","")</f>
        <v/>
      </c>
      <c r="B180" s="9">
        <f>IFERROR(INDEX('All products'!$B$2:$B$107,MATCH(175,'All products'!$Q$2:$Q$107,0))&amp;"","")</f>
        <v/>
      </c>
      <c r="C180" s="9">
        <f>IFERROR(INDEX('All products'!$C$2:$C$107,MATCH(175,'All products'!$Q$2:$Q$107,0))&amp;"","")</f>
        <v/>
      </c>
      <c r="D180" s="9">
        <f>IFERROR(INDEX('All products'!$D$2:$D$107,MATCH(175,'All products'!$Q$2:$Q$107,0))&amp;"","")</f>
        <v/>
      </c>
      <c r="E180" s="9">
        <f>IFERROR(INDEX('All products'!$E$2:$E$107,MATCH(175,'All products'!$Q$2:$Q$107,0))&amp;"","")</f>
        <v/>
      </c>
      <c r="F180" s="9">
        <f>IFERROR(INDEX('All products'!$F$2:$F$107,MATCH(175,'All products'!$Q$2:$Q$107,0))&amp;"","")</f>
        <v/>
      </c>
      <c r="G180" s="9">
        <f>IFERROR(INDEX('All products'!$G$2:$G$107,MATCH(175,'All products'!$Q$2:$Q$107,0))&amp;"","")</f>
        <v/>
      </c>
      <c r="H180" s="9">
        <f>IFERROR(INDEX('All products'!$H$2:$H$107,MATCH(175,'All products'!$Q$2:$Q$107,0))&amp;"","")</f>
        <v/>
      </c>
      <c r="I180" s="9">
        <f>IFERROR(INDEX('All products'!$I$2:$I$107,MATCH(175,'All products'!$Q$2:$Q$107,0))&amp;"","")</f>
        <v/>
      </c>
      <c r="J180" s="9">
        <f>IFERROR(INDEX('All products'!$J$2:$J$107,MATCH(175,'All products'!$Q$2:$Q$107,0))&amp;"","")</f>
        <v/>
      </c>
      <c r="K180" s="9">
        <f>IFERROR(INDEX('All products'!$K$2:$K$107,MATCH(175,'All products'!$Q$2:$Q$107,0))&amp;"","")</f>
        <v/>
      </c>
      <c r="L180" s="9">
        <f>IFERROR(INDEX('All products'!$L$2:$L$107,MATCH(175,'All products'!$Q$2:$Q$107,0))&amp;"","")</f>
        <v/>
      </c>
      <c r="M180" s="9">
        <f>IFERROR(INDEX('All products'!$M$2:$M$107,MATCH(175,'All products'!$Q$2:$Q$107,0))&amp;"","")</f>
        <v/>
      </c>
      <c r="N180" s="9">
        <f>IFERROR(INDEX('All products'!$N$2:$N$107,MATCH(175,'All products'!$Q$2:$Q$107,0))&amp;"","")</f>
        <v/>
      </c>
      <c r="O180" s="9">
        <f>IFERROR(HYPERLINK(INDEX('All products'!$O$2:$O$107,MATCH(175,'All products'!$Q$2:$Q$107,0))),"")</f>
        <v/>
      </c>
    </row>
    <row r="181" ht="15" customHeight="1" s="10">
      <c r="A181" s="9">
        <f>IFERROR(INDEX('All products'!$A$2:$A$107,MATCH(176,'All products'!$Q$2:$Q$107,0))&amp;"","")</f>
        <v/>
      </c>
      <c r="B181" s="9">
        <f>IFERROR(INDEX('All products'!$B$2:$B$107,MATCH(176,'All products'!$Q$2:$Q$107,0))&amp;"","")</f>
        <v/>
      </c>
      <c r="C181" s="9">
        <f>IFERROR(INDEX('All products'!$C$2:$C$107,MATCH(176,'All products'!$Q$2:$Q$107,0))&amp;"","")</f>
        <v/>
      </c>
      <c r="D181" s="9">
        <f>IFERROR(INDEX('All products'!$D$2:$D$107,MATCH(176,'All products'!$Q$2:$Q$107,0))&amp;"","")</f>
        <v/>
      </c>
      <c r="E181" s="9">
        <f>IFERROR(INDEX('All products'!$E$2:$E$107,MATCH(176,'All products'!$Q$2:$Q$107,0))&amp;"","")</f>
        <v/>
      </c>
      <c r="F181" s="9">
        <f>IFERROR(INDEX('All products'!$F$2:$F$107,MATCH(176,'All products'!$Q$2:$Q$107,0))&amp;"","")</f>
        <v/>
      </c>
      <c r="G181" s="9">
        <f>IFERROR(INDEX('All products'!$G$2:$G$107,MATCH(176,'All products'!$Q$2:$Q$107,0))&amp;"","")</f>
        <v/>
      </c>
      <c r="H181" s="9">
        <f>IFERROR(INDEX('All products'!$H$2:$H$107,MATCH(176,'All products'!$Q$2:$Q$107,0))&amp;"","")</f>
        <v/>
      </c>
      <c r="I181" s="9">
        <f>IFERROR(INDEX('All products'!$I$2:$I$107,MATCH(176,'All products'!$Q$2:$Q$107,0))&amp;"","")</f>
        <v/>
      </c>
      <c r="J181" s="9">
        <f>IFERROR(INDEX('All products'!$J$2:$J$107,MATCH(176,'All products'!$Q$2:$Q$107,0))&amp;"","")</f>
        <v/>
      </c>
      <c r="K181" s="9">
        <f>IFERROR(INDEX('All products'!$K$2:$K$107,MATCH(176,'All products'!$Q$2:$Q$107,0))&amp;"","")</f>
        <v/>
      </c>
      <c r="L181" s="9">
        <f>IFERROR(INDEX('All products'!$L$2:$L$107,MATCH(176,'All products'!$Q$2:$Q$107,0))&amp;"","")</f>
        <v/>
      </c>
      <c r="M181" s="9">
        <f>IFERROR(INDEX('All products'!$M$2:$M$107,MATCH(176,'All products'!$Q$2:$Q$107,0))&amp;"","")</f>
        <v/>
      </c>
      <c r="N181" s="9">
        <f>IFERROR(INDEX('All products'!$N$2:$N$107,MATCH(176,'All products'!$Q$2:$Q$107,0))&amp;"","")</f>
        <v/>
      </c>
      <c r="O181" s="9">
        <f>IFERROR(HYPERLINK(INDEX('All products'!$O$2:$O$107,MATCH(176,'All products'!$Q$2:$Q$107,0))),"")</f>
        <v/>
      </c>
    </row>
    <row r="182" ht="15" customHeight="1" s="10">
      <c r="A182" s="9">
        <f>IFERROR(INDEX('All products'!$A$2:$A$107,MATCH(177,'All products'!$Q$2:$Q$107,0))&amp;"","")</f>
        <v/>
      </c>
      <c r="B182" s="9">
        <f>IFERROR(INDEX('All products'!$B$2:$B$107,MATCH(177,'All products'!$Q$2:$Q$107,0))&amp;"","")</f>
        <v/>
      </c>
      <c r="C182" s="9">
        <f>IFERROR(INDEX('All products'!$C$2:$C$107,MATCH(177,'All products'!$Q$2:$Q$107,0))&amp;"","")</f>
        <v/>
      </c>
      <c r="D182" s="9">
        <f>IFERROR(INDEX('All products'!$D$2:$D$107,MATCH(177,'All products'!$Q$2:$Q$107,0))&amp;"","")</f>
        <v/>
      </c>
      <c r="E182" s="9">
        <f>IFERROR(INDEX('All products'!$E$2:$E$107,MATCH(177,'All products'!$Q$2:$Q$107,0))&amp;"","")</f>
        <v/>
      </c>
      <c r="F182" s="9">
        <f>IFERROR(INDEX('All products'!$F$2:$F$107,MATCH(177,'All products'!$Q$2:$Q$107,0))&amp;"","")</f>
        <v/>
      </c>
      <c r="G182" s="9">
        <f>IFERROR(INDEX('All products'!$G$2:$G$107,MATCH(177,'All products'!$Q$2:$Q$107,0))&amp;"","")</f>
        <v/>
      </c>
      <c r="H182" s="9">
        <f>IFERROR(INDEX('All products'!$H$2:$H$107,MATCH(177,'All products'!$Q$2:$Q$107,0))&amp;"","")</f>
        <v/>
      </c>
      <c r="I182" s="9">
        <f>IFERROR(INDEX('All products'!$I$2:$I$107,MATCH(177,'All products'!$Q$2:$Q$107,0))&amp;"","")</f>
        <v/>
      </c>
      <c r="J182" s="9">
        <f>IFERROR(INDEX('All products'!$J$2:$J$107,MATCH(177,'All products'!$Q$2:$Q$107,0))&amp;"","")</f>
        <v/>
      </c>
      <c r="K182" s="9">
        <f>IFERROR(INDEX('All products'!$K$2:$K$107,MATCH(177,'All products'!$Q$2:$Q$107,0))&amp;"","")</f>
        <v/>
      </c>
      <c r="L182" s="9">
        <f>IFERROR(INDEX('All products'!$L$2:$L$107,MATCH(177,'All products'!$Q$2:$Q$107,0))&amp;"","")</f>
        <v/>
      </c>
      <c r="M182" s="9">
        <f>IFERROR(INDEX('All products'!$M$2:$M$107,MATCH(177,'All products'!$Q$2:$Q$107,0))&amp;"","")</f>
        <v/>
      </c>
      <c r="N182" s="9">
        <f>IFERROR(INDEX('All products'!$N$2:$N$107,MATCH(177,'All products'!$Q$2:$Q$107,0))&amp;"","")</f>
        <v/>
      </c>
      <c r="O182" s="9">
        <f>IFERROR(HYPERLINK(INDEX('All products'!$O$2:$O$107,MATCH(177,'All products'!$Q$2:$Q$107,0))),"")</f>
        <v/>
      </c>
    </row>
    <row r="183" ht="15" customHeight="1" s="10">
      <c r="A183" s="9">
        <f>IFERROR(INDEX('All products'!$A$2:$A$107,MATCH(178,'All products'!$Q$2:$Q$107,0))&amp;"","")</f>
        <v/>
      </c>
      <c r="B183" s="9">
        <f>IFERROR(INDEX('All products'!$B$2:$B$107,MATCH(178,'All products'!$Q$2:$Q$107,0))&amp;"","")</f>
        <v/>
      </c>
      <c r="C183" s="9">
        <f>IFERROR(INDEX('All products'!$C$2:$C$107,MATCH(178,'All products'!$Q$2:$Q$107,0))&amp;"","")</f>
        <v/>
      </c>
      <c r="D183" s="9">
        <f>IFERROR(INDEX('All products'!$D$2:$D$107,MATCH(178,'All products'!$Q$2:$Q$107,0))&amp;"","")</f>
        <v/>
      </c>
      <c r="E183" s="9">
        <f>IFERROR(INDEX('All products'!$E$2:$E$107,MATCH(178,'All products'!$Q$2:$Q$107,0))&amp;"","")</f>
        <v/>
      </c>
      <c r="F183" s="9">
        <f>IFERROR(INDEX('All products'!$F$2:$F$107,MATCH(178,'All products'!$Q$2:$Q$107,0))&amp;"","")</f>
        <v/>
      </c>
      <c r="G183" s="9">
        <f>IFERROR(INDEX('All products'!$G$2:$G$107,MATCH(178,'All products'!$Q$2:$Q$107,0))&amp;"","")</f>
        <v/>
      </c>
      <c r="H183" s="9">
        <f>IFERROR(INDEX('All products'!$H$2:$H$107,MATCH(178,'All products'!$Q$2:$Q$107,0))&amp;"","")</f>
        <v/>
      </c>
      <c r="I183" s="9">
        <f>IFERROR(INDEX('All products'!$I$2:$I$107,MATCH(178,'All products'!$Q$2:$Q$107,0))&amp;"","")</f>
        <v/>
      </c>
      <c r="J183" s="9">
        <f>IFERROR(INDEX('All products'!$J$2:$J$107,MATCH(178,'All products'!$Q$2:$Q$107,0))&amp;"","")</f>
        <v/>
      </c>
      <c r="K183" s="9">
        <f>IFERROR(INDEX('All products'!$K$2:$K$107,MATCH(178,'All products'!$Q$2:$Q$107,0))&amp;"","")</f>
        <v/>
      </c>
      <c r="L183" s="9">
        <f>IFERROR(INDEX('All products'!$L$2:$L$107,MATCH(178,'All products'!$Q$2:$Q$107,0))&amp;"","")</f>
        <v/>
      </c>
      <c r="M183" s="9">
        <f>IFERROR(INDEX('All products'!$M$2:$M$107,MATCH(178,'All products'!$Q$2:$Q$107,0))&amp;"","")</f>
        <v/>
      </c>
      <c r="N183" s="9">
        <f>IFERROR(INDEX('All products'!$N$2:$N$107,MATCH(178,'All products'!$Q$2:$Q$107,0))&amp;"","")</f>
        <v/>
      </c>
      <c r="O183" s="9">
        <f>IFERROR(HYPERLINK(INDEX('All products'!$O$2:$O$107,MATCH(178,'All products'!$Q$2:$Q$107,0))),"")</f>
        <v/>
      </c>
    </row>
    <row r="184" ht="15" customHeight="1" s="10">
      <c r="A184" s="9">
        <f>IFERROR(INDEX('All products'!$A$2:$A$107,MATCH(179,'All products'!$Q$2:$Q$107,0))&amp;"","")</f>
        <v/>
      </c>
      <c r="B184" s="9">
        <f>IFERROR(INDEX('All products'!$B$2:$B$107,MATCH(179,'All products'!$Q$2:$Q$107,0))&amp;"","")</f>
        <v/>
      </c>
      <c r="C184" s="9">
        <f>IFERROR(INDEX('All products'!$C$2:$C$107,MATCH(179,'All products'!$Q$2:$Q$107,0))&amp;"","")</f>
        <v/>
      </c>
      <c r="D184" s="9">
        <f>IFERROR(INDEX('All products'!$D$2:$D$107,MATCH(179,'All products'!$Q$2:$Q$107,0))&amp;"","")</f>
        <v/>
      </c>
      <c r="E184" s="9">
        <f>IFERROR(INDEX('All products'!$E$2:$E$107,MATCH(179,'All products'!$Q$2:$Q$107,0))&amp;"","")</f>
        <v/>
      </c>
      <c r="F184" s="9">
        <f>IFERROR(INDEX('All products'!$F$2:$F$107,MATCH(179,'All products'!$Q$2:$Q$107,0))&amp;"","")</f>
        <v/>
      </c>
      <c r="G184" s="9">
        <f>IFERROR(INDEX('All products'!$G$2:$G$107,MATCH(179,'All products'!$Q$2:$Q$107,0))&amp;"","")</f>
        <v/>
      </c>
      <c r="H184" s="9">
        <f>IFERROR(INDEX('All products'!$H$2:$H$107,MATCH(179,'All products'!$Q$2:$Q$107,0))&amp;"","")</f>
        <v/>
      </c>
      <c r="I184" s="9">
        <f>IFERROR(INDEX('All products'!$I$2:$I$107,MATCH(179,'All products'!$Q$2:$Q$107,0))&amp;"","")</f>
        <v/>
      </c>
      <c r="J184" s="9">
        <f>IFERROR(INDEX('All products'!$J$2:$J$107,MATCH(179,'All products'!$Q$2:$Q$107,0))&amp;"","")</f>
        <v/>
      </c>
      <c r="K184" s="9">
        <f>IFERROR(INDEX('All products'!$K$2:$K$107,MATCH(179,'All products'!$Q$2:$Q$107,0))&amp;"","")</f>
        <v/>
      </c>
      <c r="L184" s="9">
        <f>IFERROR(INDEX('All products'!$L$2:$L$107,MATCH(179,'All products'!$Q$2:$Q$107,0))&amp;"","")</f>
        <v/>
      </c>
      <c r="M184" s="9">
        <f>IFERROR(INDEX('All products'!$M$2:$M$107,MATCH(179,'All products'!$Q$2:$Q$107,0))&amp;"","")</f>
        <v/>
      </c>
      <c r="N184" s="9">
        <f>IFERROR(INDEX('All products'!$N$2:$N$107,MATCH(179,'All products'!$Q$2:$Q$107,0))&amp;"","")</f>
        <v/>
      </c>
      <c r="O184" s="9">
        <f>IFERROR(HYPERLINK(INDEX('All products'!$O$2:$O$107,MATCH(179,'All products'!$Q$2:$Q$107,0))),"")</f>
        <v/>
      </c>
    </row>
    <row r="185" ht="15" customHeight="1" s="10">
      <c r="A185" s="9">
        <f>IFERROR(INDEX('All products'!$A$2:$A$107,MATCH(180,'All products'!$Q$2:$Q$107,0))&amp;"","")</f>
        <v/>
      </c>
      <c r="B185" s="9">
        <f>IFERROR(INDEX('All products'!$B$2:$B$107,MATCH(180,'All products'!$Q$2:$Q$107,0))&amp;"","")</f>
        <v/>
      </c>
      <c r="C185" s="9">
        <f>IFERROR(INDEX('All products'!$C$2:$C$107,MATCH(180,'All products'!$Q$2:$Q$107,0))&amp;"","")</f>
        <v/>
      </c>
      <c r="D185" s="9">
        <f>IFERROR(INDEX('All products'!$D$2:$D$107,MATCH(180,'All products'!$Q$2:$Q$107,0))&amp;"","")</f>
        <v/>
      </c>
      <c r="E185" s="9">
        <f>IFERROR(INDEX('All products'!$E$2:$E$107,MATCH(180,'All products'!$Q$2:$Q$107,0))&amp;"","")</f>
        <v/>
      </c>
      <c r="F185" s="9">
        <f>IFERROR(INDEX('All products'!$F$2:$F$107,MATCH(180,'All products'!$Q$2:$Q$107,0))&amp;"","")</f>
        <v/>
      </c>
      <c r="G185" s="9">
        <f>IFERROR(INDEX('All products'!$G$2:$G$107,MATCH(180,'All products'!$Q$2:$Q$107,0))&amp;"","")</f>
        <v/>
      </c>
      <c r="H185" s="9">
        <f>IFERROR(INDEX('All products'!$H$2:$H$107,MATCH(180,'All products'!$Q$2:$Q$107,0))&amp;"","")</f>
        <v/>
      </c>
      <c r="I185" s="9">
        <f>IFERROR(INDEX('All products'!$I$2:$I$107,MATCH(180,'All products'!$Q$2:$Q$107,0))&amp;"","")</f>
        <v/>
      </c>
      <c r="J185" s="9">
        <f>IFERROR(INDEX('All products'!$J$2:$J$107,MATCH(180,'All products'!$Q$2:$Q$107,0))&amp;"","")</f>
        <v/>
      </c>
      <c r="K185" s="9">
        <f>IFERROR(INDEX('All products'!$K$2:$K$107,MATCH(180,'All products'!$Q$2:$Q$107,0))&amp;"","")</f>
        <v/>
      </c>
      <c r="L185" s="9">
        <f>IFERROR(INDEX('All products'!$L$2:$L$107,MATCH(180,'All products'!$Q$2:$Q$107,0))&amp;"","")</f>
        <v/>
      </c>
      <c r="M185" s="9">
        <f>IFERROR(INDEX('All products'!$M$2:$M$107,MATCH(180,'All products'!$Q$2:$Q$107,0))&amp;"","")</f>
        <v/>
      </c>
      <c r="N185" s="9">
        <f>IFERROR(INDEX('All products'!$N$2:$N$107,MATCH(180,'All products'!$Q$2:$Q$107,0))&amp;"","")</f>
        <v/>
      </c>
      <c r="O185" s="9">
        <f>IFERROR(HYPERLINK(INDEX('All products'!$O$2:$O$107,MATCH(180,'All products'!$Q$2:$Q$107,0))),"")</f>
        <v/>
      </c>
    </row>
    <row r="186" ht="15" customHeight="1" s="10">
      <c r="A186" s="9">
        <f>IFERROR(INDEX('All products'!$A$2:$A$107,MATCH(181,'All products'!$Q$2:$Q$107,0))&amp;"","")</f>
        <v/>
      </c>
      <c r="B186" s="9">
        <f>IFERROR(INDEX('All products'!$B$2:$B$107,MATCH(181,'All products'!$Q$2:$Q$107,0))&amp;"","")</f>
        <v/>
      </c>
      <c r="C186" s="9">
        <f>IFERROR(INDEX('All products'!$C$2:$C$107,MATCH(181,'All products'!$Q$2:$Q$107,0))&amp;"","")</f>
        <v/>
      </c>
      <c r="D186" s="9">
        <f>IFERROR(INDEX('All products'!$D$2:$D$107,MATCH(181,'All products'!$Q$2:$Q$107,0))&amp;"","")</f>
        <v/>
      </c>
      <c r="E186" s="9">
        <f>IFERROR(INDEX('All products'!$E$2:$E$107,MATCH(181,'All products'!$Q$2:$Q$107,0))&amp;"","")</f>
        <v/>
      </c>
      <c r="F186" s="9">
        <f>IFERROR(INDEX('All products'!$F$2:$F$107,MATCH(181,'All products'!$Q$2:$Q$107,0))&amp;"","")</f>
        <v/>
      </c>
      <c r="G186" s="9">
        <f>IFERROR(INDEX('All products'!$G$2:$G$107,MATCH(181,'All products'!$Q$2:$Q$107,0))&amp;"","")</f>
        <v/>
      </c>
      <c r="H186" s="9">
        <f>IFERROR(INDEX('All products'!$H$2:$H$107,MATCH(181,'All products'!$Q$2:$Q$107,0))&amp;"","")</f>
        <v/>
      </c>
      <c r="I186" s="9">
        <f>IFERROR(INDEX('All products'!$I$2:$I$107,MATCH(181,'All products'!$Q$2:$Q$107,0))&amp;"","")</f>
        <v/>
      </c>
      <c r="J186" s="9">
        <f>IFERROR(INDEX('All products'!$J$2:$J$107,MATCH(181,'All products'!$Q$2:$Q$107,0))&amp;"","")</f>
        <v/>
      </c>
      <c r="K186" s="9">
        <f>IFERROR(INDEX('All products'!$K$2:$K$107,MATCH(181,'All products'!$Q$2:$Q$107,0))&amp;"","")</f>
        <v/>
      </c>
      <c r="L186" s="9">
        <f>IFERROR(INDEX('All products'!$L$2:$L$107,MATCH(181,'All products'!$Q$2:$Q$107,0))&amp;"","")</f>
        <v/>
      </c>
      <c r="M186" s="9">
        <f>IFERROR(INDEX('All products'!$M$2:$M$107,MATCH(181,'All products'!$Q$2:$Q$107,0))&amp;"","")</f>
        <v/>
      </c>
      <c r="N186" s="9">
        <f>IFERROR(INDEX('All products'!$N$2:$N$107,MATCH(181,'All products'!$Q$2:$Q$107,0))&amp;"","")</f>
        <v/>
      </c>
      <c r="O186" s="9">
        <f>IFERROR(HYPERLINK(INDEX('All products'!$O$2:$O$107,MATCH(181,'All products'!$Q$2:$Q$107,0))),"")</f>
        <v/>
      </c>
    </row>
    <row r="187" ht="15" customHeight="1" s="10">
      <c r="A187" s="9">
        <f>IFERROR(INDEX('All products'!$A$2:$A$107,MATCH(182,'All products'!$Q$2:$Q$107,0))&amp;"","")</f>
        <v/>
      </c>
      <c r="B187" s="9">
        <f>IFERROR(INDEX('All products'!$B$2:$B$107,MATCH(182,'All products'!$Q$2:$Q$107,0))&amp;"","")</f>
        <v/>
      </c>
      <c r="C187" s="9">
        <f>IFERROR(INDEX('All products'!$C$2:$C$107,MATCH(182,'All products'!$Q$2:$Q$107,0))&amp;"","")</f>
        <v/>
      </c>
      <c r="D187" s="9">
        <f>IFERROR(INDEX('All products'!$D$2:$D$107,MATCH(182,'All products'!$Q$2:$Q$107,0))&amp;"","")</f>
        <v/>
      </c>
      <c r="E187" s="9">
        <f>IFERROR(INDEX('All products'!$E$2:$E$107,MATCH(182,'All products'!$Q$2:$Q$107,0))&amp;"","")</f>
        <v/>
      </c>
      <c r="F187" s="9">
        <f>IFERROR(INDEX('All products'!$F$2:$F$107,MATCH(182,'All products'!$Q$2:$Q$107,0))&amp;"","")</f>
        <v/>
      </c>
      <c r="G187" s="9">
        <f>IFERROR(INDEX('All products'!$G$2:$G$107,MATCH(182,'All products'!$Q$2:$Q$107,0))&amp;"","")</f>
        <v/>
      </c>
      <c r="H187" s="9">
        <f>IFERROR(INDEX('All products'!$H$2:$H$107,MATCH(182,'All products'!$Q$2:$Q$107,0))&amp;"","")</f>
        <v/>
      </c>
      <c r="I187" s="9">
        <f>IFERROR(INDEX('All products'!$I$2:$I$107,MATCH(182,'All products'!$Q$2:$Q$107,0))&amp;"","")</f>
        <v/>
      </c>
      <c r="J187" s="9">
        <f>IFERROR(INDEX('All products'!$J$2:$J$107,MATCH(182,'All products'!$Q$2:$Q$107,0))&amp;"","")</f>
        <v/>
      </c>
      <c r="K187" s="9">
        <f>IFERROR(INDEX('All products'!$K$2:$K$107,MATCH(182,'All products'!$Q$2:$Q$107,0))&amp;"","")</f>
        <v/>
      </c>
      <c r="L187" s="9">
        <f>IFERROR(INDEX('All products'!$L$2:$L$107,MATCH(182,'All products'!$Q$2:$Q$107,0))&amp;"","")</f>
        <v/>
      </c>
      <c r="M187" s="9">
        <f>IFERROR(INDEX('All products'!$M$2:$M$107,MATCH(182,'All products'!$Q$2:$Q$107,0))&amp;"","")</f>
        <v/>
      </c>
      <c r="N187" s="9">
        <f>IFERROR(INDEX('All products'!$N$2:$N$107,MATCH(182,'All products'!$Q$2:$Q$107,0))&amp;"","")</f>
        <v/>
      </c>
      <c r="O187" s="9">
        <f>IFERROR(HYPERLINK(INDEX('All products'!$O$2:$O$107,MATCH(182,'All products'!$Q$2:$Q$107,0))),"")</f>
        <v/>
      </c>
    </row>
    <row r="188" ht="15" customHeight="1" s="10">
      <c r="A188" s="9">
        <f>IFERROR(INDEX('All products'!$A$2:$A$107,MATCH(183,'All products'!$Q$2:$Q$107,0))&amp;"","")</f>
        <v/>
      </c>
      <c r="B188" s="9">
        <f>IFERROR(INDEX('All products'!$B$2:$B$107,MATCH(183,'All products'!$Q$2:$Q$107,0))&amp;"","")</f>
        <v/>
      </c>
      <c r="C188" s="9">
        <f>IFERROR(INDEX('All products'!$C$2:$C$107,MATCH(183,'All products'!$Q$2:$Q$107,0))&amp;"","")</f>
        <v/>
      </c>
      <c r="D188" s="9">
        <f>IFERROR(INDEX('All products'!$D$2:$D$107,MATCH(183,'All products'!$Q$2:$Q$107,0))&amp;"","")</f>
        <v/>
      </c>
      <c r="E188" s="9">
        <f>IFERROR(INDEX('All products'!$E$2:$E$107,MATCH(183,'All products'!$Q$2:$Q$107,0))&amp;"","")</f>
        <v/>
      </c>
      <c r="F188" s="9">
        <f>IFERROR(INDEX('All products'!$F$2:$F$107,MATCH(183,'All products'!$Q$2:$Q$107,0))&amp;"","")</f>
        <v/>
      </c>
      <c r="G188" s="9">
        <f>IFERROR(INDEX('All products'!$G$2:$G$107,MATCH(183,'All products'!$Q$2:$Q$107,0))&amp;"","")</f>
        <v/>
      </c>
      <c r="H188" s="9">
        <f>IFERROR(INDEX('All products'!$H$2:$H$107,MATCH(183,'All products'!$Q$2:$Q$107,0))&amp;"","")</f>
        <v/>
      </c>
      <c r="I188" s="9">
        <f>IFERROR(INDEX('All products'!$I$2:$I$107,MATCH(183,'All products'!$Q$2:$Q$107,0))&amp;"","")</f>
        <v/>
      </c>
      <c r="J188" s="9">
        <f>IFERROR(INDEX('All products'!$J$2:$J$107,MATCH(183,'All products'!$Q$2:$Q$107,0))&amp;"","")</f>
        <v/>
      </c>
      <c r="K188" s="9">
        <f>IFERROR(INDEX('All products'!$K$2:$K$107,MATCH(183,'All products'!$Q$2:$Q$107,0))&amp;"","")</f>
        <v/>
      </c>
      <c r="L188" s="9">
        <f>IFERROR(INDEX('All products'!$L$2:$L$107,MATCH(183,'All products'!$Q$2:$Q$107,0))&amp;"","")</f>
        <v/>
      </c>
      <c r="M188" s="9">
        <f>IFERROR(INDEX('All products'!$M$2:$M$107,MATCH(183,'All products'!$Q$2:$Q$107,0))&amp;"","")</f>
        <v/>
      </c>
      <c r="N188" s="9">
        <f>IFERROR(INDEX('All products'!$N$2:$N$107,MATCH(183,'All products'!$Q$2:$Q$107,0))&amp;"","")</f>
        <v/>
      </c>
      <c r="O188" s="9">
        <f>IFERROR(HYPERLINK(INDEX('All products'!$O$2:$O$107,MATCH(183,'All products'!$Q$2:$Q$107,0))),"")</f>
        <v/>
      </c>
    </row>
    <row r="189" ht="15" customHeight="1" s="10">
      <c r="A189" s="9">
        <f>IFERROR(INDEX('All products'!$A$2:$A$107,MATCH(184,'All products'!$Q$2:$Q$107,0))&amp;"","")</f>
        <v/>
      </c>
      <c r="B189" s="9">
        <f>IFERROR(INDEX('All products'!$B$2:$B$107,MATCH(184,'All products'!$Q$2:$Q$107,0))&amp;"","")</f>
        <v/>
      </c>
      <c r="C189" s="9">
        <f>IFERROR(INDEX('All products'!$C$2:$C$107,MATCH(184,'All products'!$Q$2:$Q$107,0))&amp;"","")</f>
        <v/>
      </c>
      <c r="D189" s="9">
        <f>IFERROR(INDEX('All products'!$D$2:$D$107,MATCH(184,'All products'!$Q$2:$Q$107,0))&amp;"","")</f>
        <v/>
      </c>
      <c r="E189" s="9">
        <f>IFERROR(INDEX('All products'!$E$2:$E$107,MATCH(184,'All products'!$Q$2:$Q$107,0))&amp;"","")</f>
        <v/>
      </c>
      <c r="F189" s="9">
        <f>IFERROR(INDEX('All products'!$F$2:$F$107,MATCH(184,'All products'!$Q$2:$Q$107,0))&amp;"","")</f>
        <v/>
      </c>
      <c r="G189" s="9">
        <f>IFERROR(INDEX('All products'!$G$2:$G$107,MATCH(184,'All products'!$Q$2:$Q$107,0))&amp;"","")</f>
        <v/>
      </c>
      <c r="H189" s="9">
        <f>IFERROR(INDEX('All products'!$H$2:$H$107,MATCH(184,'All products'!$Q$2:$Q$107,0))&amp;"","")</f>
        <v/>
      </c>
      <c r="I189" s="9">
        <f>IFERROR(INDEX('All products'!$I$2:$I$107,MATCH(184,'All products'!$Q$2:$Q$107,0))&amp;"","")</f>
        <v/>
      </c>
      <c r="J189" s="9">
        <f>IFERROR(INDEX('All products'!$J$2:$J$107,MATCH(184,'All products'!$Q$2:$Q$107,0))&amp;"","")</f>
        <v/>
      </c>
      <c r="K189" s="9">
        <f>IFERROR(INDEX('All products'!$K$2:$K$107,MATCH(184,'All products'!$Q$2:$Q$107,0))&amp;"","")</f>
        <v/>
      </c>
      <c r="L189" s="9">
        <f>IFERROR(INDEX('All products'!$L$2:$L$107,MATCH(184,'All products'!$Q$2:$Q$107,0))&amp;"","")</f>
        <v/>
      </c>
      <c r="M189" s="9">
        <f>IFERROR(INDEX('All products'!$M$2:$M$107,MATCH(184,'All products'!$Q$2:$Q$107,0))&amp;"","")</f>
        <v/>
      </c>
      <c r="N189" s="9">
        <f>IFERROR(INDEX('All products'!$N$2:$N$107,MATCH(184,'All products'!$Q$2:$Q$107,0))&amp;"","")</f>
        <v/>
      </c>
      <c r="O189" s="9">
        <f>IFERROR(HYPERLINK(INDEX('All products'!$O$2:$O$107,MATCH(184,'All products'!$Q$2:$Q$107,0))),"")</f>
        <v/>
      </c>
    </row>
    <row r="190" ht="15" customHeight="1" s="10">
      <c r="A190" s="9">
        <f>IFERROR(INDEX('All products'!$A$2:$A$107,MATCH(185,'All products'!$Q$2:$Q$107,0))&amp;"","")</f>
        <v/>
      </c>
      <c r="B190" s="9">
        <f>IFERROR(INDEX('All products'!$B$2:$B$107,MATCH(185,'All products'!$Q$2:$Q$107,0))&amp;"","")</f>
        <v/>
      </c>
      <c r="C190" s="9">
        <f>IFERROR(INDEX('All products'!$C$2:$C$107,MATCH(185,'All products'!$Q$2:$Q$107,0))&amp;"","")</f>
        <v/>
      </c>
      <c r="D190" s="9">
        <f>IFERROR(INDEX('All products'!$D$2:$D$107,MATCH(185,'All products'!$Q$2:$Q$107,0))&amp;"","")</f>
        <v/>
      </c>
      <c r="E190" s="9">
        <f>IFERROR(INDEX('All products'!$E$2:$E$107,MATCH(185,'All products'!$Q$2:$Q$107,0))&amp;"","")</f>
        <v/>
      </c>
      <c r="F190" s="9">
        <f>IFERROR(INDEX('All products'!$F$2:$F$107,MATCH(185,'All products'!$Q$2:$Q$107,0))&amp;"","")</f>
        <v/>
      </c>
      <c r="G190" s="9">
        <f>IFERROR(INDEX('All products'!$G$2:$G$107,MATCH(185,'All products'!$Q$2:$Q$107,0))&amp;"","")</f>
        <v/>
      </c>
      <c r="H190" s="9">
        <f>IFERROR(INDEX('All products'!$H$2:$H$107,MATCH(185,'All products'!$Q$2:$Q$107,0))&amp;"","")</f>
        <v/>
      </c>
      <c r="I190" s="9">
        <f>IFERROR(INDEX('All products'!$I$2:$I$107,MATCH(185,'All products'!$Q$2:$Q$107,0))&amp;"","")</f>
        <v/>
      </c>
      <c r="J190" s="9">
        <f>IFERROR(INDEX('All products'!$J$2:$J$107,MATCH(185,'All products'!$Q$2:$Q$107,0))&amp;"","")</f>
        <v/>
      </c>
      <c r="K190" s="9">
        <f>IFERROR(INDEX('All products'!$K$2:$K$107,MATCH(185,'All products'!$Q$2:$Q$107,0))&amp;"","")</f>
        <v/>
      </c>
      <c r="L190" s="9">
        <f>IFERROR(INDEX('All products'!$L$2:$L$107,MATCH(185,'All products'!$Q$2:$Q$107,0))&amp;"","")</f>
        <v/>
      </c>
      <c r="M190" s="9">
        <f>IFERROR(INDEX('All products'!$M$2:$M$107,MATCH(185,'All products'!$Q$2:$Q$107,0))&amp;"","")</f>
        <v/>
      </c>
      <c r="N190" s="9">
        <f>IFERROR(INDEX('All products'!$N$2:$N$107,MATCH(185,'All products'!$Q$2:$Q$107,0))&amp;"","")</f>
        <v/>
      </c>
      <c r="O190" s="9">
        <f>IFERROR(HYPERLINK(INDEX('All products'!$O$2:$O$107,MATCH(185,'All products'!$Q$2:$Q$107,0))),"")</f>
        <v/>
      </c>
    </row>
    <row r="191" ht="15" customHeight="1" s="10">
      <c r="A191" s="9">
        <f>IFERROR(INDEX('All products'!$A$2:$A$107,MATCH(186,'All products'!$Q$2:$Q$107,0))&amp;"","")</f>
        <v/>
      </c>
      <c r="B191" s="9">
        <f>IFERROR(INDEX('All products'!$B$2:$B$107,MATCH(186,'All products'!$Q$2:$Q$107,0))&amp;"","")</f>
        <v/>
      </c>
      <c r="C191" s="9">
        <f>IFERROR(INDEX('All products'!$C$2:$C$107,MATCH(186,'All products'!$Q$2:$Q$107,0))&amp;"","")</f>
        <v/>
      </c>
      <c r="D191" s="9">
        <f>IFERROR(INDEX('All products'!$D$2:$D$107,MATCH(186,'All products'!$Q$2:$Q$107,0))&amp;"","")</f>
        <v/>
      </c>
      <c r="E191" s="9">
        <f>IFERROR(INDEX('All products'!$E$2:$E$107,MATCH(186,'All products'!$Q$2:$Q$107,0))&amp;"","")</f>
        <v/>
      </c>
      <c r="F191" s="9">
        <f>IFERROR(INDEX('All products'!$F$2:$F$107,MATCH(186,'All products'!$Q$2:$Q$107,0))&amp;"","")</f>
        <v/>
      </c>
      <c r="G191" s="9">
        <f>IFERROR(INDEX('All products'!$G$2:$G$107,MATCH(186,'All products'!$Q$2:$Q$107,0))&amp;"","")</f>
        <v/>
      </c>
      <c r="H191" s="9">
        <f>IFERROR(INDEX('All products'!$H$2:$H$107,MATCH(186,'All products'!$Q$2:$Q$107,0))&amp;"","")</f>
        <v/>
      </c>
      <c r="I191" s="9">
        <f>IFERROR(INDEX('All products'!$I$2:$I$107,MATCH(186,'All products'!$Q$2:$Q$107,0))&amp;"","")</f>
        <v/>
      </c>
      <c r="J191" s="9">
        <f>IFERROR(INDEX('All products'!$J$2:$J$107,MATCH(186,'All products'!$Q$2:$Q$107,0))&amp;"","")</f>
        <v/>
      </c>
      <c r="K191" s="9">
        <f>IFERROR(INDEX('All products'!$K$2:$K$107,MATCH(186,'All products'!$Q$2:$Q$107,0))&amp;"","")</f>
        <v/>
      </c>
      <c r="L191" s="9">
        <f>IFERROR(INDEX('All products'!$L$2:$L$107,MATCH(186,'All products'!$Q$2:$Q$107,0))&amp;"","")</f>
        <v/>
      </c>
      <c r="M191" s="9">
        <f>IFERROR(INDEX('All products'!$M$2:$M$107,MATCH(186,'All products'!$Q$2:$Q$107,0))&amp;"","")</f>
        <v/>
      </c>
      <c r="N191" s="9">
        <f>IFERROR(INDEX('All products'!$N$2:$N$107,MATCH(186,'All products'!$Q$2:$Q$107,0))&amp;"","")</f>
        <v/>
      </c>
      <c r="O191" s="9">
        <f>IFERROR(HYPERLINK(INDEX('All products'!$O$2:$O$107,MATCH(186,'All products'!$Q$2:$Q$107,0))),"")</f>
        <v/>
      </c>
    </row>
    <row r="192" ht="15" customHeight="1" s="10">
      <c r="A192" s="9">
        <f>IFERROR(INDEX('All products'!$A$2:$A$107,MATCH(187,'All products'!$Q$2:$Q$107,0))&amp;"","")</f>
        <v/>
      </c>
      <c r="B192" s="9">
        <f>IFERROR(INDEX('All products'!$B$2:$B$107,MATCH(187,'All products'!$Q$2:$Q$107,0))&amp;"","")</f>
        <v/>
      </c>
      <c r="C192" s="9">
        <f>IFERROR(INDEX('All products'!$C$2:$C$107,MATCH(187,'All products'!$Q$2:$Q$107,0))&amp;"","")</f>
        <v/>
      </c>
      <c r="D192" s="9">
        <f>IFERROR(INDEX('All products'!$D$2:$D$107,MATCH(187,'All products'!$Q$2:$Q$107,0))&amp;"","")</f>
        <v/>
      </c>
      <c r="E192" s="9">
        <f>IFERROR(INDEX('All products'!$E$2:$E$107,MATCH(187,'All products'!$Q$2:$Q$107,0))&amp;"","")</f>
        <v/>
      </c>
      <c r="F192" s="9">
        <f>IFERROR(INDEX('All products'!$F$2:$F$107,MATCH(187,'All products'!$Q$2:$Q$107,0))&amp;"","")</f>
        <v/>
      </c>
      <c r="G192" s="9">
        <f>IFERROR(INDEX('All products'!$G$2:$G$107,MATCH(187,'All products'!$Q$2:$Q$107,0))&amp;"","")</f>
        <v/>
      </c>
      <c r="H192" s="9">
        <f>IFERROR(INDEX('All products'!$H$2:$H$107,MATCH(187,'All products'!$Q$2:$Q$107,0))&amp;"","")</f>
        <v/>
      </c>
      <c r="I192" s="9">
        <f>IFERROR(INDEX('All products'!$I$2:$I$107,MATCH(187,'All products'!$Q$2:$Q$107,0))&amp;"","")</f>
        <v/>
      </c>
      <c r="J192" s="9">
        <f>IFERROR(INDEX('All products'!$J$2:$J$107,MATCH(187,'All products'!$Q$2:$Q$107,0))&amp;"","")</f>
        <v/>
      </c>
      <c r="K192" s="9">
        <f>IFERROR(INDEX('All products'!$K$2:$K$107,MATCH(187,'All products'!$Q$2:$Q$107,0))&amp;"","")</f>
        <v/>
      </c>
      <c r="L192" s="9">
        <f>IFERROR(INDEX('All products'!$L$2:$L$107,MATCH(187,'All products'!$Q$2:$Q$107,0))&amp;"","")</f>
        <v/>
      </c>
      <c r="M192" s="9">
        <f>IFERROR(INDEX('All products'!$M$2:$M$107,MATCH(187,'All products'!$Q$2:$Q$107,0))&amp;"","")</f>
        <v/>
      </c>
      <c r="N192" s="9">
        <f>IFERROR(INDEX('All products'!$N$2:$N$107,MATCH(187,'All products'!$Q$2:$Q$107,0))&amp;"","")</f>
        <v/>
      </c>
      <c r="O192" s="9">
        <f>IFERROR(HYPERLINK(INDEX('All products'!$O$2:$O$107,MATCH(187,'All products'!$Q$2:$Q$107,0))),"")</f>
        <v/>
      </c>
    </row>
    <row r="193" ht="15" customHeight="1" s="10">
      <c r="A193" s="9">
        <f>IFERROR(INDEX('All products'!$A$2:$A$107,MATCH(188,'All products'!$Q$2:$Q$107,0))&amp;"","")</f>
        <v/>
      </c>
      <c r="B193" s="9">
        <f>IFERROR(INDEX('All products'!$B$2:$B$107,MATCH(188,'All products'!$Q$2:$Q$107,0))&amp;"","")</f>
        <v/>
      </c>
      <c r="C193" s="9">
        <f>IFERROR(INDEX('All products'!$C$2:$C$107,MATCH(188,'All products'!$Q$2:$Q$107,0))&amp;"","")</f>
        <v/>
      </c>
      <c r="D193" s="9">
        <f>IFERROR(INDEX('All products'!$D$2:$D$107,MATCH(188,'All products'!$Q$2:$Q$107,0))&amp;"","")</f>
        <v/>
      </c>
      <c r="E193" s="9">
        <f>IFERROR(INDEX('All products'!$E$2:$E$107,MATCH(188,'All products'!$Q$2:$Q$107,0))&amp;"","")</f>
        <v/>
      </c>
      <c r="F193" s="9">
        <f>IFERROR(INDEX('All products'!$F$2:$F$107,MATCH(188,'All products'!$Q$2:$Q$107,0))&amp;"","")</f>
        <v/>
      </c>
      <c r="G193" s="9">
        <f>IFERROR(INDEX('All products'!$G$2:$G$107,MATCH(188,'All products'!$Q$2:$Q$107,0))&amp;"","")</f>
        <v/>
      </c>
      <c r="H193" s="9">
        <f>IFERROR(INDEX('All products'!$H$2:$H$107,MATCH(188,'All products'!$Q$2:$Q$107,0))&amp;"","")</f>
        <v/>
      </c>
      <c r="I193" s="9">
        <f>IFERROR(INDEX('All products'!$I$2:$I$107,MATCH(188,'All products'!$Q$2:$Q$107,0))&amp;"","")</f>
        <v/>
      </c>
      <c r="J193" s="9">
        <f>IFERROR(INDEX('All products'!$J$2:$J$107,MATCH(188,'All products'!$Q$2:$Q$107,0))&amp;"","")</f>
        <v/>
      </c>
      <c r="K193" s="9">
        <f>IFERROR(INDEX('All products'!$K$2:$K$107,MATCH(188,'All products'!$Q$2:$Q$107,0))&amp;"","")</f>
        <v/>
      </c>
      <c r="L193" s="9">
        <f>IFERROR(INDEX('All products'!$L$2:$L$107,MATCH(188,'All products'!$Q$2:$Q$107,0))&amp;"","")</f>
        <v/>
      </c>
      <c r="M193" s="9">
        <f>IFERROR(INDEX('All products'!$M$2:$M$107,MATCH(188,'All products'!$Q$2:$Q$107,0))&amp;"","")</f>
        <v/>
      </c>
      <c r="N193" s="9">
        <f>IFERROR(INDEX('All products'!$N$2:$N$107,MATCH(188,'All products'!$Q$2:$Q$107,0))&amp;"","")</f>
        <v/>
      </c>
      <c r="O193" s="9">
        <f>IFERROR(HYPERLINK(INDEX('All products'!$O$2:$O$107,MATCH(188,'All products'!$Q$2:$Q$107,0))),"")</f>
        <v/>
      </c>
    </row>
    <row r="194" ht="15" customHeight="1" s="10">
      <c r="A194" s="9">
        <f>IFERROR(INDEX('All products'!$A$2:$A$107,MATCH(189,'All products'!$Q$2:$Q$107,0))&amp;"","")</f>
        <v/>
      </c>
      <c r="B194" s="9">
        <f>IFERROR(INDEX('All products'!$B$2:$B$107,MATCH(189,'All products'!$Q$2:$Q$107,0))&amp;"","")</f>
        <v/>
      </c>
      <c r="C194" s="9">
        <f>IFERROR(INDEX('All products'!$C$2:$C$107,MATCH(189,'All products'!$Q$2:$Q$107,0))&amp;"","")</f>
        <v/>
      </c>
      <c r="D194" s="9">
        <f>IFERROR(INDEX('All products'!$D$2:$D$107,MATCH(189,'All products'!$Q$2:$Q$107,0))&amp;"","")</f>
        <v/>
      </c>
      <c r="E194" s="9">
        <f>IFERROR(INDEX('All products'!$E$2:$E$107,MATCH(189,'All products'!$Q$2:$Q$107,0))&amp;"","")</f>
        <v/>
      </c>
      <c r="F194" s="9">
        <f>IFERROR(INDEX('All products'!$F$2:$F$107,MATCH(189,'All products'!$Q$2:$Q$107,0))&amp;"","")</f>
        <v/>
      </c>
      <c r="G194" s="9">
        <f>IFERROR(INDEX('All products'!$G$2:$G$107,MATCH(189,'All products'!$Q$2:$Q$107,0))&amp;"","")</f>
        <v/>
      </c>
      <c r="H194" s="9">
        <f>IFERROR(INDEX('All products'!$H$2:$H$107,MATCH(189,'All products'!$Q$2:$Q$107,0))&amp;"","")</f>
        <v/>
      </c>
      <c r="I194" s="9">
        <f>IFERROR(INDEX('All products'!$I$2:$I$107,MATCH(189,'All products'!$Q$2:$Q$107,0))&amp;"","")</f>
        <v/>
      </c>
      <c r="J194" s="9">
        <f>IFERROR(INDEX('All products'!$J$2:$J$107,MATCH(189,'All products'!$Q$2:$Q$107,0))&amp;"","")</f>
        <v/>
      </c>
      <c r="K194" s="9">
        <f>IFERROR(INDEX('All products'!$K$2:$K$107,MATCH(189,'All products'!$Q$2:$Q$107,0))&amp;"","")</f>
        <v/>
      </c>
      <c r="L194" s="9">
        <f>IFERROR(INDEX('All products'!$L$2:$L$107,MATCH(189,'All products'!$Q$2:$Q$107,0))&amp;"","")</f>
        <v/>
      </c>
      <c r="M194" s="9">
        <f>IFERROR(INDEX('All products'!$M$2:$M$107,MATCH(189,'All products'!$Q$2:$Q$107,0))&amp;"","")</f>
        <v/>
      </c>
      <c r="N194" s="9">
        <f>IFERROR(INDEX('All products'!$N$2:$N$107,MATCH(189,'All products'!$Q$2:$Q$107,0))&amp;"","")</f>
        <v/>
      </c>
      <c r="O194" s="9">
        <f>IFERROR(HYPERLINK(INDEX('All products'!$O$2:$O$107,MATCH(189,'All products'!$Q$2:$Q$107,0))),"")</f>
        <v/>
      </c>
    </row>
    <row r="195" ht="15" customHeight="1" s="10">
      <c r="A195" s="9">
        <f>IFERROR(INDEX('All products'!$A$2:$A$107,MATCH(190,'All products'!$Q$2:$Q$107,0))&amp;"","")</f>
        <v/>
      </c>
      <c r="B195" s="9">
        <f>IFERROR(INDEX('All products'!$B$2:$B$107,MATCH(190,'All products'!$Q$2:$Q$107,0))&amp;"","")</f>
        <v/>
      </c>
      <c r="C195" s="9">
        <f>IFERROR(INDEX('All products'!$C$2:$C$107,MATCH(190,'All products'!$Q$2:$Q$107,0))&amp;"","")</f>
        <v/>
      </c>
      <c r="D195" s="9">
        <f>IFERROR(INDEX('All products'!$D$2:$D$107,MATCH(190,'All products'!$Q$2:$Q$107,0))&amp;"","")</f>
        <v/>
      </c>
      <c r="E195" s="9">
        <f>IFERROR(INDEX('All products'!$E$2:$E$107,MATCH(190,'All products'!$Q$2:$Q$107,0))&amp;"","")</f>
        <v/>
      </c>
      <c r="F195" s="9">
        <f>IFERROR(INDEX('All products'!$F$2:$F$107,MATCH(190,'All products'!$Q$2:$Q$107,0))&amp;"","")</f>
        <v/>
      </c>
      <c r="G195" s="9">
        <f>IFERROR(INDEX('All products'!$G$2:$G$107,MATCH(190,'All products'!$Q$2:$Q$107,0))&amp;"","")</f>
        <v/>
      </c>
      <c r="H195" s="9">
        <f>IFERROR(INDEX('All products'!$H$2:$H$107,MATCH(190,'All products'!$Q$2:$Q$107,0))&amp;"","")</f>
        <v/>
      </c>
      <c r="I195" s="9">
        <f>IFERROR(INDEX('All products'!$I$2:$I$107,MATCH(190,'All products'!$Q$2:$Q$107,0))&amp;"","")</f>
        <v/>
      </c>
      <c r="J195" s="9">
        <f>IFERROR(INDEX('All products'!$J$2:$J$107,MATCH(190,'All products'!$Q$2:$Q$107,0))&amp;"","")</f>
        <v/>
      </c>
      <c r="K195" s="9">
        <f>IFERROR(INDEX('All products'!$K$2:$K$107,MATCH(190,'All products'!$Q$2:$Q$107,0))&amp;"","")</f>
        <v/>
      </c>
      <c r="L195" s="9">
        <f>IFERROR(INDEX('All products'!$L$2:$L$107,MATCH(190,'All products'!$Q$2:$Q$107,0))&amp;"","")</f>
        <v/>
      </c>
      <c r="M195" s="9">
        <f>IFERROR(INDEX('All products'!$M$2:$M$107,MATCH(190,'All products'!$Q$2:$Q$107,0))&amp;"","")</f>
        <v/>
      </c>
      <c r="N195" s="9">
        <f>IFERROR(INDEX('All products'!$N$2:$N$107,MATCH(190,'All products'!$Q$2:$Q$107,0))&amp;"","")</f>
        <v/>
      </c>
      <c r="O195" s="9">
        <f>IFERROR(HYPERLINK(INDEX('All products'!$O$2:$O$107,MATCH(190,'All products'!$Q$2:$Q$107,0))),"")</f>
        <v/>
      </c>
    </row>
    <row r="196" ht="15" customHeight="1" s="10">
      <c r="A196" s="9">
        <f>IFERROR(INDEX('All products'!$A$2:$A$107,MATCH(191,'All products'!$Q$2:$Q$107,0))&amp;"","")</f>
        <v/>
      </c>
      <c r="B196" s="9">
        <f>IFERROR(INDEX('All products'!$B$2:$B$107,MATCH(191,'All products'!$Q$2:$Q$107,0))&amp;"","")</f>
        <v/>
      </c>
      <c r="C196" s="9">
        <f>IFERROR(INDEX('All products'!$C$2:$C$107,MATCH(191,'All products'!$Q$2:$Q$107,0))&amp;"","")</f>
        <v/>
      </c>
      <c r="D196" s="9">
        <f>IFERROR(INDEX('All products'!$D$2:$D$107,MATCH(191,'All products'!$Q$2:$Q$107,0))&amp;"","")</f>
        <v/>
      </c>
      <c r="E196" s="9">
        <f>IFERROR(INDEX('All products'!$E$2:$E$107,MATCH(191,'All products'!$Q$2:$Q$107,0))&amp;"","")</f>
        <v/>
      </c>
      <c r="F196" s="9">
        <f>IFERROR(INDEX('All products'!$F$2:$F$107,MATCH(191,'All products'!$Q$2:$Q$107,0))&amp;"","")</f>
        <v/>
      </c>
      <c r="G196" s="9">
        <f>IFERROR(INDEX('All products'!$G$2:$G$107,MATCH(191,'All products'!$Q$2:$Q$107,0))&amp;"","")</f>
        <v/>
      </c>
      <c r="H196" s="9">
        <f>IFERROR(INDEX('All products'!$H$2:$H$107,MATCH(191,'All products'!$Q$2:$Q$107,0))&amp;"","")</f>
        <v/>
      </c>
      <c r="I196" s="9">
        <f>IFERROR(INDEX('All products'!$I$2:$I$107,MATCH(191,'All products'!$Q$2:$Q$107,0))&amp;"","")</f>
        <v/>
      </c>
      <c r="J196" s="9">
        <f>IFERROR(INDEX('All products'!$J$2:$J$107,MATCH(191,'All products'!$Q$2:$Q$107,0))&amp;"","")</f>
        <v/>
      </c>
      <c r="K196" s="9">
        <f>IFERROR(INDEX('All products'!$K$2:$K$107,MATCH(191,'All products'!$Q$2:$Q$107,0))&amp;"","")</f>
        <v/>
      </c>
      <c r="L196" s="9">
        <f>IFERROR(INDEX('All products'!$L$2:$L$107,MATCH(191,'All products'!$Q$2:$Q$107,0))&amp;"","")</f>
        <v/>
      </c>
      <c r="M196" s="9">
        <f>IFERROR(INDEX('All products'!$M$2:$M$107,MATCH(191,'All products'!$Q$2:$Q$107,0))&amp;"","")</f>
        <v/>
      </c>
      <c r="N196" s="9">
        <f>IFERROR(INDEX('All products'!$N$2:$N$107,MATCH(191,'All products'!$Q$2:$Q$107,0))&amp;"","")</f>
        <v/>
      </c>
      <c r="O196" s="9">
        <f>IFERROR(HYPERLINK(INDEX('All products'!$O$2:$O$107,MATCH(191,'All products'!$Q$2:$Q$107,0))),"")</f>
        <v/>
      </c>
    </row>
    <row r="197" ht="15" customHeight="1" s="10">
      <c r="A197" s="9">
        <f>IFERROR(INDEX('All products'!$A$2:$A$107,MATCH(192,'All products'!$Q$2:$Q$107,0))&amp;"","")</f>
        <v/>
      </c>
      <c r="B197" s="9">
        <f>IFERROR(INDEX('All products'!$B$2:$B$107,MATCH(192,'All products'!$Q$2:$Q$107,0))&amp;"","")</f>
        <v/>
      </c>
      <c r="C197" s="9">
        <f>IFERROR(INDEX('All products'!$C$2:$C$107,MATCH(192,'All products'!$Q$2:$Q$107,0))&amp;"","")</f>
        <v/>
      </c>
      <c r="D197" s="9">
        <f>IFERROR(INDEX('All products'!$D$2:$D$107,MATCH(192,'All products'!$Q$2:$Q$107,0))&amp;"","")</f>
        <v/>
      </c>
      <c r="E197" s="9">
        <f>IFERROR(INDEX('All products'!$E$2:$E$107,MATCH(192,'All products'!$Q$2:$Q$107,0))&amp;"","")</f>
        <v/>
      </c>
      <c r="F197" s="9">
        <f>IFERROR(INDEX('All products'!$F$2:$F$107,MATCH(192,'All products'!$Q$2:$Q$107,0))&amp;"","")</f>
        <v/>
      </c>
      <c r="G197" s="9">
        <f>IFERROR(INDEX('All products'!$G$2:$G$107,MATCH(192,'All products'!$Q$2:$Q$107,0))&amp;"","")</f>
        <v/>
      </c>
      <c r="H197" s="9">
        <f>IFERROR(INDEX('All products'!$H$2:$H$107,MATCH(192,'All products'!$Q$2:$Q$107,0))&amp;"","")</f>
        <v/>
      </c>
      <c r="I197" s="9">
        <f>IFERROR(INDEX('All products'!$I$2:$I$107,MATCH(192,'All products'!$Q$2:$Q$107,0))&amp;"","")</f>
        <v/>
      </c>
      <c r="J197" s="9">
        <f>IFERROR(INDEX('All products'!$J$2:$J$107,MATCH(192,'All products'!$Q$2:$Q$107,0))&amp;"","")</f>
        <v/>
      </c>
      <c r="K197" s="9">
        <f>IFERROR(INDEX('All products'!$K$2:$K$107,MATCH(192,'All products'!$Q$2:$Q$107,0))&amp;"","")</f>
        <v/>
      </c>
      <c r="L197" s="9">
        <f>IFERROR(INDEX('All products'!$L$2:$L$107,MATCH(192,'All products'!$Q$2:$Q$107,0))&amp;"","")</f>
        <v/>
      </c>
      <c r="M197" s="9">
        <f>IFERROR(INDEX('All products'!$M$2:$M$107,MATCH(192,'All products'!$Q$2:$Q$107,0))&amp;"","")</f>
        <v/>
      </c>
      <c r="N197" s="9">
        <f>IFERROR(INDEX('All products'!$N$2:$N$107,MATCH(192,'All products'!$Q$2:$Q$107,0))&amp;"","")</f>
        <v/>
      </c>
      <c r="O197" s="9">
        <f>IFERROR(HYPERLINK(INDEX('All products'!$O$2:$O$107,MATCH(192,'All products'!$Q$2:$Q$107,0))),"")</f>
        <v/>
      </c>
    </row>
    <row r="198" ht="15" customHeight="1" s="10">
      <c r="A198" s="9">
        <f>IFERROR(INDEX('All products'!$A$2:$A$107,MATCH(193,'All products'!$Q$2:$Q$107,0))&amp;"","")</f>
        <v/>
      </c>
      <c r="B198" s="9">
        <f>IFERROR(INDEX('All products'!$B$2:$B$107,MATCH(193,'All products'!$Q$2:$Q$107,0))&amp;"","")</f>
        <v/>
      </c>
      <c r="C198" s="9">
        <f>IFERROR(INDEX('All products'!$C$2:$C$107,MATCH(193,'All products'!$Q$2:$Q$107,0))&amp;"","")</f>
        <v/>
      </c>
      <c r="D198" s="9">
        <f>IFERROR(INDEX('All products'!$D$2:$D$107,MATCH(193,'All products'!$Q$2:$Q$107,0))&amp;"","")</f>
        <v/>
      </c>
      <c r="E198" s="9">
        <f>IFERROR(INDEX('All products'!$E$2:$E$107,MATCH(193,'All products'!$Q$2:$Q$107,0))&amp;"","")</f>
        <v/>
      </c>
      <c r="F198" s="9">
        <f>IFERROR(INDEX('All products'!$F$2:$F$107,MATCH(193,'All products'!$Q$2:$Q$107,0))&amp;"","")</f>
        <v/>
      </c>
      <c r="G198" s="9">
        <f>IFERROR(INDEX('All products'!$G$2:$G$107,MATCH(193,'All products'!$Q$2:$Q$107,0))&amp;"","")</f>
        <v/>
      </c>
      <c r="H198" s="9">
        <f>IFERROR(INDEX('All products'!$H$2:$H$107,MATCH(193,'All products'!$Q$2:$Q$107,0))&amp;"","")</f>
        <v/>
      </c>
      <c r="I198" s="9">
        <f>IFERROR(INDEX('All products'!$I$2:$I$107,MATCH(193,'All products'!$Q$2:$Q$107,0))&amp;"","")</f>
        <v/>
      </c>
      <c r="J198" s="9">
        <f>IFERROR(INDEX('All products'!$J$2:$J$107,MATCH(193,'All products'!$Q$2:$Q$107,0))&amp;"","")</f>
        <v/>
      </c>
      <c r="K198" s="9">
        <f>IFERROR(INDEX('All products'!$K$2:$K$107,MATCH(193,'All products'!$Q$2:$Q$107,0))&amp;"","")</f>
        <v/>
      </c>
      <c r="L198" s="9">
        <f>IFERROR(INDEX('All products'!$L$2:$L$107,MATCH(193,'All products'!$Q$2:$Q$107,0))&amp;"","")</f>
        <v/>
      </c>
      <c r="M198" s="9">
        <f>IFERROR(INDEX('All products'!$M$2:$M$107,MATCH(193,'All products'!$Q$2:$Q$107,0))&amp;"","")</f>
        <v/>
      </c>
      <c r="N198" s="9">
        <f>IFERROR(INDEX('All products'!$N$2:$N$107,MATCH(193,'All products'!$Q$2:$Q$107,0))&amp;"","")</f>
        <v/>
      </c>
      <c r="O198" s="9">
        <f>IFERROR(HYPERLINK(INDEX('All products'!$O$2:$O$107,MATCH(193,'All products'!$Q$2:$Q$107,0))),"")</f>
        <v/>
      </c>
    </row>
    <row r="199" ht="15" customHeight="1" s="10">
      <c r="A199" s="9">
        <f>IFERROR(INDEX('All products'!$A$2:$A$107,MATCH(194,'All products'!$Q$2:$Q$107,0))&amp;"","")</f>
        <v/>
      </c>
      <c r="B199" s="9">
        <f>IFERROR(INDEX('All products'!$B$2:$B$107,MATCH(194,'All products'!$Q$2:$Q$107,0))&amp;"","")</f>
        <v/>
      </c>
      <c r="C199" s="9">
        <f>IFERROR(INDEX('All products'!$C$2:$C$107,MATCH(194,'All products'!$Q$2:$Q$107,0))&amp;"","")</f>
        <v/>
      </c>
      <c r="D199" s="9">
        <f>IFERROR(INDEX('All products'!$D$2:$D$107,MATCH(194,'All products'!$Q$2:$Q$107,0))&amp;"","")</f>
        <v/>
      </c>
      <c r="E199" s="9">
        <f>IFERROR(INDEX('All products'!$E$2:$E$107,MATCH(194,'All products'!$Q$2:$Q$107,0))&amp;"","")</f>
        <v/>
      </c>
      <c r="F199" s="9">
        <f>IFERROR(INDEX('All products'!$F$2:$F$107,MATCH(194,'All products'!$Q$2:$Q$107,0))&amp;"","")</f>
        <v/>
      </c>
      <c r="G199" s="9">
        <f>IFERROR(INDEX('All products'!$G$2:$G$107,MATCH(194,'All products'!$Q$2:$Q$107,0))&amp;"","")</f>
        <v/>
      </c>
      <c r="H199" s="9">
        <f>IFERROR(INDEX('All products'!$H$2:$H$107,MATCH(194,'All products'!$Q$2:$Q$107,0))&amp;"","")</f>
        <v/>
      </c>
      <c r="I199" s="9">
        <f>IFERROR(INDEX('All products'!$I$2:$I$107,MATCH(194,'All products'!$Q$2:$Q$107,0))&amp;"","")</f>
        <v/>
      </c>
      <c r="J199" s="9">
        <f>IFERROR(INDEX('All products'!$J$2:$J$107,MATCH(194,'All products'!$Q$2:$Q$107,0))&amp;"","")</f>
        <v/>
      </c>
      <c r="K199" s="9">
        <f>IFERROR(INDEX('All products'!$K$2:$K$107,MATCH(194,'All products'!$Q$2:$Q$107,0))&amp;"","")</f>
        <v/>
      </c>
      <c r="L199" s="9">
        <f>IFERROR(INDEX('All products'!$L$2:$L$107,MATCH(194,'All products'!$Q$2:$Q$107,0))&amp;"","")</f>
        <v/>
      </c>
      <c r="M199" s="9">
        <f>IFERROR(INDEX('All products'!$M$2:$M$107,MATCH(194,'All products'!$Q$2:$Q$107,0))&amp;"","")</f>
        <v/>
      </c>
      <c r="N199" s="9">
        <f>IFERROR(INDEX('All products'!$N$2:$N$107,MATCH(194,'All products'!$Q$2:$Q$107,0))&amp;"","")</f>
        <v/>
      </c>
      <c r="O199" s="9">
        <f>IFERROR(HYPERLINK(INDEX('All products'!$O$2:$O$107,MATCH(194,'All products'!$Q$2:$Q$107,0))),"")</f>
        <v/>
      </c>
    </row>
    <row r="200" ht="15" customHeight="1" s="10">
      <c r="A200" s="9">
        <f>IFERROR(INDEX('All products'!$A$2:$A$107,MATCH(195,'All products'!$Q$2:$Q$107,0))&amp;"","")</f>
        <v/>
      </c>
      <c r="B200" s="9">
        <f>IFERROR(INDEX('All products'!$B$2:$B$107,MATCH(195,'All products'!$Q$2:$Q$107,0))&amp;"","")</f>
        <v/>
      </c>
      <c r="C200" s="9">
        <f>IFERROR(INDEX('All products'!$C$2:$C$107,MATCH(195,'All products'!$Q$2:$Q$107,0))&amp;"","")</f>
        <v/>
      </c>
      <c r="D200" s="9">
        <f>IFERROR(INDEX('All products'!$D$2:$D$107,MATCH(195,'All products'!$Q$2:$Q$107,0))&amp;"","")</f>
        <v/>
      </c>
      <c r="E200" s="9">
        <f>IFERROR(INDEX('All products'!$E$2:$E$107,MATCH(195,'All products'!$Q$2:$Q$107,0))&amp;"","")</f>
        <v/>
      </c>
      <c r="F200" s="9">
        <f>IFERROR(INDEX('All products'!$F$2:$F$107,MATCH(195,'All products'!$Q$2:$Q$107,0))&amp;"","")</f>
        <v/>
      </c>
      <c r="G200" s="9">
        <f>IFERROR(INDEX('All products'!$G$2:$G$107,MATCH(195,'All products'!$Q$2:$Q$107,0))&amp;"","")</f>
        <v/>
      </c>
      <c r="H200" s="9">
        <f>IFERROR(INDEX('All products'!$H$2:$H$107,MATCH(195,'All products'!$Q$2:$Q$107,0))&amp;"","")</f>
        <v/>
      </c>
      <c r="I200" s="9">
        <f>IFERROR(INDEX('All products'!$I$2:$I$107,MATCH(195,'All products'!$Q$2:$Q$107,0))&amp;"","")</f>
        <v/>
      </c>
      <c r="J200" s="9">
        <f>IFERROR(INDEX('All products'!$J$2:$J$107,MATCH(195,'All products'!$Q$2:$Q$107,0))&amp;"","")</f>
        <v/>
      </c>
      <c r="K200" s="9">
        <f>IFERROR(INDEX('All products'!$K$2:$K$107,MATCH(195,'All products'!$Q$2:$Q$107,0))&amp;"","")</f>
        <v/>
      </c>
      <c r="L200" s="9">
        <f>IFERROR(INDEX('All products'!$L$2:$L$107,MATCH(195,'All products'!$Q$2:$Q$107,0))&amp;"","")</f>
        <v/>
      </c>
      <c r="M200" s="9">
        <f>IFERROR(INDEX('All products'!$M$2:$M$107,MATCH(195,'All products'!$Q$2:$Q$107,0))&amp;"","")</f>
        <v/>
      </c>
      <c r="N200" s="9">
        <f>IFERROR(INDEX('All products'!$N$2:$N$107,MATCH(195,'All products'!$Q$2:$Q$107,0))&amp;"","")</f>
        <v/>
      </c>
      <c r="O200" s="9">
        <f>IFERROR(HYPERLINK(INDEX('All products'!$O$2:$O$107,MATCH(195,'All products'!$Q$2:$Q$107,0))),"")</f>
        <v/>
      </c>
    </row>
    <row r="201" ht="15" customHeight="1" s="10">
      <c r="A201" s="9">
        <f>IFERROR(INDEX('All products'!$A$2:$A$107,MATCH(196,'All products'!$Q$2:$Q$107,0))&amp;"","")</f>
        <v/>
      </c>
      <c r="B201" s="9">
        <f>IFERROR(INDEX('All products'!$B$2:$B$107,MATCH(196,'All products'!$Q$2:$Q$107,0))&amp;"","")</f>
        <v/>
      </c>
      <c r="C201" s="9">
        <f>IFERROR(INDEX('All products'!$C$2:$C$107,MATCH(196,'All products'!$Q$2:$Q$107,0))&amp;"","")</f>
        <v/>
      </c>
      <c r="D201" s="9">
        <f>IFERROR(INDEX('All products'!$D$2:$D$107,MATCH(196,'All products'!$Q$2:$Q$107,0))&amp;"","")</f>
        <v/>
      </c>
      <c r="E201" s="9">
        <f>IFERROR(INDEX('All products'!$E$2:$E$107,MATCH(196,'All products'!$Q$2:$Q$107,0))&amp;"","")</f>
        <v/>
      </c>
      <c r="F201" s="9">
        <f>IFERROR(INDEX('All products'!$F$2:$F$107,MATCH(196,'All products'!$Q$2:$Q$107,0))&amp;"","")</f>
        <v/>
      </c>
      <c r="G201" s="9">
        <f>IFERROR(INDEX('All products'!$G$2:$G$107,MATCH(196,'All products'!$Q$2:$Q$107,0))&amp;"","")</f>
        <v/>
      </c>
      <c r="H201" s="9">
        <f>IFERROR(INDEX('All products'!$H$2:$H$107,MATCH(196,'All products'!$Q$2:$Q$107,0))&amp;"","")</f>
        <v/>
      </c>
      <c r="I201" s="9">
        <f>IFERROR(INDEX('All products'!$I$2:$I$107,MATCH(196,'All products'!$Q$2:$Q$107,0))&amp;"","")</f>
        <v/>
      </c>
      <c r="J201" s="9">
        <f>IFERROR(INDEX('All products'!$J$2:$J$107,MATCH(196,'All products'!$Q$2:$Q$107,0))&amp;"","")</f>
        <v/>
      </c>
      <c r="K201" s="9">
        <f>IFERROR(INDEX('All products'!$K$2:$K$107,MATCH(196,'All products'!$Q$2:$Q$107,0))&amp;"","")</f>
        <v/>
      </c>
      <c r="L201" s="9">
        <f>IFERROR(INDEX('All products'!$L$2:$L$107,MATCH(196,'All products'!$Q$2:$Q$107,0))&amp;"","")</f>
        <v/>
      </c>
      <c r="M201" s="9">
        <f>IFERROR(INDEX('All products'!$M$2:$M$107,MATCH(196,'All products'!$Q$2:$Q$107,0))&amp;"","")</f>
        <v/>
      </c>
      <c r="N201" s="9">
        <f>IFERROR(INDEX('All products'!$N$2:$N$107,MATCH(196,'All products'!$Q$2:$Q$107,0))&amp;"","")</f>
        <v/>
      </c>
      <c r="O201" s="9">
        <f>IFERROR(HYPERLINK(INDEX('All products'!$O$2:$O$107,MATCH(196,'All products'!$Q$2:$Q$107,0))),"")</f>
        <v/>
      </c>
    </row>
    <row r="202" ht="15" customHeight="1" s="10">
      <c r="A202" s="9">
        <f>IFERROR(INDEX('All products'!$A$2:$A$107,MATCH(197,'All products'!$Q$2:$Q$107,0))&amp;"","")</f>
        <v/>
      </c>
      <c r="B202" s="9">
        <f>IFERROR(INDEX('All products'!$B$2:$B$107,MATCH(197,'All products'!$Q$2:$Q$107,0))&amp;"","")</f>
        <v/>
      </c>
      <c r="C202" s="9">
        <f>IFERROR(INDEX('All products'!$C$2:$C$107,MATCH(197,'All products'!$Q$2:$Q$107,0))&amp;"","")</f>
        <v/>
      </c>
      <c r="D202" s="9">
        <f>IFERROR(INDEX('All products'!$D$2:$D$107,MATCH(197,'All products'!$Q$2:$Q$107,0))&amp;"","")</f>
        <v/>
      </c>
      <c r="E202" s="9">
        <f>IFERROR(INDEX('All products'!$E$2:$E$107,MATCH(197,'All products'!$Q$2:$Q$107,0))&amp;"","")</f>
        <v/>
      </c>
      <c r="F202" s="9">
        <f>IFERROR(INDEX('All products'!$F$2:$F$107,MATCH(197,'All products'!$Q$2:$Q$107,0))&amp;"","")</f>
        <v/>
      </c>
      <c r="G202" s="9">
        <f>IFERROR(INDEX('All products'!$G$2:$G$107,MATCH(197,'All products'!$Q$2:$Q$107,0))&amp;"","")</f>
        <v/>
      </c>
      <c r="H202" s="9">
        <f>IFERROR(INDEX('All products'!$H$2:$H$107,MATCH(197,'All products'!$Q$2:$Q$107,0))&amp;"","")</f>
        <v/>
      </c>
      <c r="I202" s="9">
        <f>IFERROR(INDEX('All products'!$I$2:$I$107,MATCH(197,'All products'!$Q$2:$Q$107,0))&amp;"","")</f>
        <v/>
      </c>
      <c r="J202" s="9">
        <f>IFERROR(INDEX('All products'!$J$2:$J$107,MATCH(197,'All products'!$Q$2:$Q$107,0))&amp;"","")</f>
        <v/>
      </c>
      <c r="K202" s="9">
        <f>IFERROR(INDEX('All products'!$K$2:$K$107,MATCH(197,'All products'!$Q$2:$Q$107,0))&amp;"","")</f>
        <v/>
      </c>
      <c r="L202" s="9">
        <f>IFERROR(INDEX('All products'!$L$2:$L$107,MATCH(197,'All products'!$Q$2:$Q$107,0))&amp;"","")</f>
        <v/>
      </c>
      <c r="M202" s="9">
        <f>IFERROR(INDEX('All products'!$M$2:$M$107,MATCH(197,'All products'!$Q$2:$Q$107,0))&amp;"","")</f>
        <v/>
      </c>
      <c r="N202" s="9">
        <f>IFERROR(INDEX('All products'!$N$2:$N$107,MATCH(197,'All products'!$Q$2:$Q$107,0))&amp;"","")</f>
        <v/>
      </c>
      <c r="O202" s="9">
        <f>IFERROR(HYPERLINK(INDEX('All products'!$O$2:$O$107,MATCH(197,'All products'!$Q$2:$Q$107,0))),"")</f>
        <v/>
      </c>
    </row>
    <row r="203" ht="15" customHeight="1" s="10">
      <c r="A203" s="9">
        <f>IFERROR(INDEX('All products'!$A$2:$A$107,MATCH(198,'All products'!$Q$2:$Q$107,0))&amp;"","")</f>
        <v/>
      </c>
      <c r="B203" s="9">
        <f>IFERROR(INDEX('All products'!$B$2:$B$107,MATCH(198,'All products'!$Q$2:$Q$107,0))&amp;"","")</f>
        <v/>
      </c>
      <c r="C203" s="9">
        <f>IFERROR(INDEX('All products'!$C$2:$C$107,MATCH(198,'All products'!$Q$2:$Q$107,0))&amp;"","")</f>
        <v/>
      </c>
      <c r="D203" s="9">
        <f>IFERROR(INDEX('All products'!$D$2:$D$107,MATCH(198,'All products'!$Q$2:$Q$107,0))&amp;"","")</f>
        <v/>
      </c>
      <c r="E203" s="9">
        <f>IFERROR(INDEX('All products'!$E$2:$E$107,MATCH(198,'All products'!$Q$2:$Q$107,0))&amp;"","")</f>
        <v/>
      </c>
      <c r="F203" s="9">
        <f>IFERROR(INDEX('All products'!$F$2:$F$107,MATCH(198,'All products'!$Q$2:$Q$107,0))&amp;"","")</f>
        <v/>
      </c>
      <c r="G203" s="9">
        <f>IFERROR(INDEX('All products'!$G$2:$G$107,MATCH(198,'All products'!$Q$2:$Q$107,0))&amp;"","")</f>
        <v/>
      </c>
      <c r="H203" s="9">
        <f>IFERROR(INDEX('All products'!$H$2:$H$107,MATCH(198,'All products'!$Q$2:$Q$107,0))&amp;"","")</f>
        <v/>
      </c>
      <c r="I203" s="9">
        <f>IFERROR(INDEX('All products'!$I$2:$I$107,MATCH(198,'All products'!$Q$2:$Q$107,0))&amp;"","")</f>
        <v/>
      </c>
      <c r="J203" s="9">
        <f>IFERROR(INDEX('All products'!$J$2:$J$107,MATCH(198,'All products'!$Q$2:$Q$107,0))&amp;"","")</f>
        <v/>
      </c>
      <c r="K203" s="9">
        <f>IFERROR(INDEX('All products'!$K$2:$K$107,MATCH(198,'All products'!$Q$2:$Q$107,0))&amp;"","")</f>
        <v/>
      </c>
      <c r="L203" s="9">
        <f>IFERROR(INDEX('All products'!$L$2:$L$107,MATCH(198,'All products'!$Q$2:$Q$107,0))&amp;"","")</f>
        <v/>
      </c>
      <c r="M203" s="9">
        <f>IFERROR(INDEX('All products'!$M$2:$M$107,MATCH(198,'All products'!$Q$2:$Q$107,0))&amp;"","")</f>
        <v/>
      </c>
      <c r="N203" s="9">
        <f>IFERROR(INDEX('All products'!$N$2:$N$107,MATCH(198,'All products'!$Q$2:$Q$107,0))&amp;"","")</f>
        <v/>
      </c>
      <c r="O203" s="9">
        <f>IFERROR(HYPERLINK(INDEX('All products'!$O$2:$O$107,MATCH(198,'All products'!$Q$2:$Q$107,0))),"")</f>
        <v/>
      </c>
    </row>
    <row r="204" ht="15" customHeight="1" s="10">
      <c r="A204" s="9">
        <f>IFERROR(INDEX('All products'!$A$2:$A$107,MATCH(199,'All products'!$Q$2:$Q$107,0))&amp;"","")</f>
        <v/>
      </c>
      <c r="B204" s="9">
        <f>IFERROR(INDEX('All products'!$B$2:$B$107,MATCH(199,'All products'!$Q$2:$Q$107,0))&amp;"","")</f>
        <v/>
      </c>
      <c r="C204" s="9">
        <f>IFERROR(INDEX('All products'!$C$2:$C$107,MATCH(199,'All products'!$Q$2:$Q$107,0))&amp;"","")</f>
        <v/>
      </c>
      <c r="D204" s="9">
        <f>IFERROR(INDEX('All products'!$D$2:$D$107,MATCH(199,'All products'!$Q$2:$Q$107,0))&amp;"","")</f>
        <v/>
      </c>
      <c r="E204" s="9">
        <f>IFERROR(INDEX('All products'!$E$2:$E$107,MATCH(199,'All products'!$Q$2:$Q$107,0))&amp;"","")</f>
        <v/>
      </c>
      <c r="F204" s="9">
        <f>IFERROR(INDEX('All products'!$F$2:$F$107,MATCH(199,'All products'!$Q$2:$Q$107,0))&amp;"","")</f>
        <v/>
      </c>
      <c r="G204" s="9">
        <f>IFERROR(INDEX('All products'!$G$2:$G$107,MATCH(199,'All products'!$Q$2:$Q$107,0))&amp;"","")</f>
        <v/>
      </c>
      <c r="H204" s="9">
        <f>IFERROR(INDEX('All products'!$H$2:$H$107,MATCH(199,'All products'!$Q$2:$Q$107,0))&amp;"","")</f>
        <v/>
      </c>
      <c r="I204" s="9">
        <f>IFERROR(INDEX('All products'!$I$2:$I$107,MATCH(199,'All products'!$Q$2:$Q$107,0))&amp;"","")</f>
        <v/>
      </c>
      <c r="J204" s="9">
        <f>IFERROR(INDEX('All products'!$J$2:$J$107,MATCH(199,'All products'!$Q$2:$Q$107,0))&amp;"","")</f>
        <v/>
      </c>
      <c r="K204" s="9">
        <f>IFERROR(INDEX('All products'!$K$2:$K$107,MATCH(199,'All products'!$Q$2:$Q$107,0))&amp;"","")</f>
        <v/>
      </c>
      <c r="L204" s="9">
        <f>IFERROR(INDEX('All products'!$L$2:$L$107,MATCH(199,'All products'!$Q$2:$Q$107,0))&amp;"","")</f>
        <v/>
      </c>
      <c r="M204" s="9">
        <f>IFERROR(INDEX('All products'!$M$2:$M$107,MATCH(199,'All products'!$Q$2:$Q$107,0))&amp;"","")</f>
        <v/>
      </c>
      <c r="N204" s="9">
        <f>IFERROR(INDEX('All products'!$N$2:$N$107,MATCH(199,'All products'!$Q$2:$Q$107,0))&amp;"","")</f>
        <v/>
      </c>
      <c r="O204" s="9">
        <f>IFERROR(HYPERLINK(INDEX('All products'!$O$2:$O$107,MATCH(199,'All products'!$Q$2:$Q$107,0))),"")</f>
        <v/>
      </c>
    </row>
    <row r="205" ht="15" customHeight="1" s="10">
      <c r="A205" s="9">
        <f>IFERROR(INDEX('All products'!$A$2:$A$107,MATCH(200,'All products'!$Q$2:$Q$107,0))&amp;"","")</f>
        <v/>
      </c>
      <c r="B205" s="9">
        <f>IFERROR(INDEX('All products'!$B$2:$B$107,MATCH(200,'All products'!$Q$2:$Q$107,0))&amp;"","")</f>
        <v/>
      </c>
      <c r="C205" s="9">
        <f>IFERROR(INDEX('All products'!$C$2:$C$107,MATCH(200,'All products'!$Q$2:$Q$107,0))&amp;"","")</f>
        <v/>
      </c>
      <c r="D205" s="9">
        <f>IFERROR(INDEX('All products'!$D$2:$D$107,MATCH(200,'All products'!$Q$2:$Q$107,0))&amp;"","")</f>
        <v/>
      </c>
      <c r="E205" s="9">
        <f>IFERROR(INDEX('All products'!$E$2:$E$107,MATCH(200,'All products'!$Q$2:$Q$107,0))&amp;"","")</f>
        <v/>
      </c>
      <c r="F205" s="9">
        <f>IFERROR(INDEX('All products'!$F$2:$F$107,MATCH(200,'All products'!$Q$2:$Q$107,0))&amp;"","")</f>
        <v/>
      </c>
      <c r="G205" s="9">
        <f>IFERROR(INDEX('All products'!$G$2:$G$107,MATCH(200,'All products'!$Q$2:$Q$107,0))&amp;"","")</f>
        <v/>
      </c>
      <c r="H205" s="9">
        <f>IFERROR(INDEX('All products'!$H$2:$H$107,MATCH(200,'All products'!$Q$2:$Q$107,0))&amp;"","")</f>
        <v/>
      </c>
      <c r="I205" s="9">
        <f>IFERROR(INDEX('All products'!$I$2:$I$107,MATCH(200,'All products'!$Q$2:$Q$107,0))&amp;"","")</f>
        <v/>
      </c>
      <c r="J205" s="9">
        <f>IFERROR(INDEX('All products'!$J$2:$J$107,MATCH(200,'All products'!$Q$2:$Q$107,0))&amp;"","")</f>
        <v/>
      </c>
      <c r="K205" s="9">
        <f>IFERROR(INDEX('All products'!$K$2:$K$107,MATCH(200,'All products'!$Q$2:$Q$107,0))&amp;"","")</f>
        <v/>
      </c>
      <c r="L205" s="9">
        <f>IFERROR(INDEX('All products'!$L$2:$L$107,MATCH(200,'All products'!$Q$2:$Q$107,0))&amp;"","")</f>
        <v/>
      </c>
      <c r="M205" s="9">
        <f>IFERROR(INDEX('All products'!$M$2:$M$107,MATCH(200,'All products'!$Q$2:$Q$107,0))&amp;"","")</f>
        <v/>
      </c>
      <c r="N205" s="9">
        <f>IFERROR(INDEX('All products'!$N$2:$N$107,MATCH(200,'All products'!$Q$2:$Q$107,0))&amp;"","")</f>
        <v/>
      </c>
      <c r="O205" s="9">
        <f>IFERROR(HYPERLINK(INDEX('All products'!$O$2:$O$107,MATCH(200,'All products'!$Q$2:$Q$107,0))),"")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7" customWidth="1" style="9" min="1" max="1"/>
    <col width="25" customWidth="1" style="9" min="2" max="2"/>
    <col width="11" customWidth="1" style="9" min="3" max="3"/>
    <col width="17" customWidth="1" style="9" min="4" max="4"/>
    <col width="18" customWidth="1" style="9" min="5" max="5"/>
    <col width="10" customWidth="1" style="9" min="6" max="6"/>
    <col width="14" customWidth="1" style="9" min="7" max="7"/>
    <col width="27" customWidth="1" style="9" min="8" max="8"/>
    <col width="10" customWidth="1" style="9" min="9" max="9"/>
    <col width="41" customWidth="1" style="9" min="10" max="10"/>
    <col width="12" customWidth="1" style="9" min="11" max="11"/>
    <col width="60" customWidth="1" style="9" min="12" max="12"/>
    <col width="58" customWidth="1" style="9" min="13" max="13"/>
  </cols>
  <sheetData>
    <row r="1" ht="15" customHeight="1" s="10">
      <c r="A1" s="13" t="inlineStr">
        <is>
          <t>Model</t>
        </is>
      </c>
      <c r="B1" s="13" t="inlineStr">
        <is>
          <t>Variant</t>
        </is>
      </c>
      <c r="C1" s="13" t="inlineStr">
        <is>
          <t>Status</t>
        </is>
      </c>
      <c r="D1" s="13" t="inlineStr">
        <is>
          <t>Legacy OPN</t>
        </is>
      </c>
      <c r="E1" s="13" t="inlineStr">
        <is>
          <t>NVIDIA OPN</t>
        </is>
      </c>
      <c r="F1" s="13" t="inlineStr">
        <is>
          <t>Speed</t>
        </is>
      </c>
      <c r="G1" s="13" t="inlineStr">
        <is>
          <t>Form factor</t>
        </is>
      </c>
      <c r="H1" s="13" t="inlineStr">
        <is>
          <t>Interfaces</t>
        </is>
      </c>
      <c r="I1" s="13" t="inlineStr">
        <is>
          <t>Medium</t>
        </is>
      </c>
      <c r="J1" s="13" t="inlineStr">
        <is>
          <t>Reach</t>
        </is>
      </c>
      <c r="K1" s="13" t="inlineStr">
        <is>
          <t>Fabric</t>
        </is>
      </c>
      <c r="L1" s="13" t="inlineStr">
        <is>
          <t>Description</t>
        </is>
      </c>
      <c r="M1" s="13" t="inlineStr">
        <is>
          <t>Link</t>
        </is>
      </c>
    </row>
    <row r="2" ht="15" customHeight="1" s="10">
      <c r="A2" s="9" t="inlineStr">
        <is>
          <t>MMS4B10-XM</t>
        </is>
      </c>
      <c r="B2" s="9" t="inlineStr">
        <is>
          <t>RHS/TRO</t>
        </is>
      </c>
      <c r="C2" s="9" t="inlineStr">
        <is>
          <t>active</t>
        </is>
      </c>
      <c r="D2" s="9" t="inlineStr">
        <is>
          <t>—</t>
        </is>
      </c>
      <c r="E2" s="9" t="inlineStr">
        <is>
          <t>980-9IAJ0-00XM00</t>
        </is>
      </c>
      <c r="F2" s="9" t="inlineStr">
        <is>
          <t>1600G</t>
        </is>
      </c>
      <c r="G2" s="9" t="inlineStr">
        <is>
          <t>OSFP-flattop</t>
        </is>
      </c>
      <c r="H2" s="9" t="inlineStr">
        <is>
          <t>2x 800Gb/s MPO-12/APC</t>
        </is>
      </c>
      <c r="I2" s="9" t="inlineStr">
        <is>
          <t>SM</t>
        </is>
      </c>
      <c r="J2" s="9" t="inlineStr">
        <is>
          <t>max 500 m</t>
        </is>
      </c>
      <c r="K2" s="9" t="inlineStr">
        <is>
          <t>ETH</t>
        </is>
      </c>
      <c r="L2" s="9" t="inlineStr">
        <is>
          <t>MMS4B10-XM TRO 1600Gbps OSFP Twin-Port 2xDR4, 2xMPO (APC) 1310nm SMF Transceiver (up to 500m)</t>
        </is>
      </c>
      <c r="M2" s="14" t="inlineStr">
        <is>
          <t>https://networking-docs.nvidia.com/mms4b10xmtro1600g</t>
        </is>
      </c>
    </row>
    <row r="3" ht="15" customHeight="1" s="10">
      <c r="A3" s="9" t="inlineStr">
        <is>
          <t>MMS4B10-XM</t>
        </is>
      </c>
      <c r="B3" s="9" t="inlineStr">
        <is>
          <t>IHS/TRO</t>
        </is>
      </c>
      <c r="C3" s="9" t="inlineStr">
        <is>
          <t>active</t>
        </is>
      </c>
      <c r="D3" s="9" t="inlineStr">
        <is>
          <t>—</t>
        </is>
      </c>
      <c r="E3" s="9" t="inlineStr">
        <is>
          <t>980-9IAJ0-00XM01</t>
        </is>
      </c>
      <c r="F3" s="9" t="inlineStr">
        <is>
          <t>1600G</t>
        </is>
      </c>
      <c r="G3" s="9" t="inlineStr">
        <is>
          <t>OSFP-finned</t>
        </is>
      </c>
      <c r="H3" s="9" t="inlineStr">
        <is>
          <t>2x 800Gb/s MPO-12/APC</t>
        </is>
      </c>
      <c r="I3" s="9" t="inlineStr">
        <is>
          <t>SM</t>
        </is>
      </c>
      <c r="J3" s="9" t="inlineStr">
        <is>
          <t>max 500 m</t>
        </is>
      </c>
      <c r="K3" s="9" t="inlineStr">
        <is>
          <t>ETH</t>
        </is>
      </c>
      <c r="L3" s="9" t="inlineStr">
        <is>
          <t>MMS4B10-XM TRO 1600Gbps OSFP Twin-Port 2xDR4, 2xMPO (APC) 1310nm SMF Transceiver (up to 500m)</t>
        </is>
      </c>
      <c r="M3" s="14" t="inlineStr">
        <is>
          <t>https://networking-docs.nvidia.com/mms4b10xmtro1600g</t>
        </is>
      </c>
    </row>
    <row r="4" ht="15" customHeight="1" s="10">
      <c r="A4" s="9" t="inlineStr">
        <is>
          <t>MMS4C10</t>
        </is>
      </c>
      <c r="B4" s="9" t="inlineStr">
        <is>
          <t>RHS/FRO Gen2 (XDR)</t>
        </is>
      </c>
      <c r="C4" s="9" t="inlineStr">
        <is>
          <t>active</t>
        </is>
      </c>
      <c r="D4" s="9" t="inlineStr">
        <is>
          <t>—</t>
        </is>
      </c>
      <c r="E4" s="9" t="inlineStr">
        <is>
          <t>980-9IAU0-00XM00</t>
        </is>
      </c>
      <c r="F4" s="9" t="inlineStr">
        <is>
          <t>1600G</t>
        </is>
      </c>
      <c r="G4" s="9" t="inlineStr">
        <is>
          <t>OSFP-flattop</t>
        </is>
      </c>
      <c r="H4" s="9" t="inlineStr">
        <is>
          <t>2x 800Gb/s MPO-12/APC</t>
        </is>
      </c>
      <c r="I4" s="9" t="inlineStr">
        <is>
          <t>SM</t>
        </is>
      </c>
      <c r="J4" s="9" t="inlineStr">
        <is>
          <t>max 500 m</t>
        </is>
      </c>
      <c r="K4" s="9" t="inlineStr">
        <is>
          <t>IB</t>
        </is>
      </c>
      <c r="L4" s="9" t="inlineStr">
        <is>
          <t>NVIDIA MMS4C1X FRO 1600Gbps, 2xDR4, Twin-port OSFP, 2xMPO (APC), 1310nm Single Mode Transceiver (up to 500m)</t>
        </is>
      </c>
      <c r="M4" s="14" t="inlineStr">
        <is>
          <t>https://networking-docs.nvidia.com/9iau000xmosfptcvr1600</t>
        </is>
      </c>
    </row>
    <row r="5" ht="15" customHeight="1" s="10">
      <c r="A5" s="9" t="inlineStr">
        <is>
          <t>MMS4C10</t>
        </is>
      </c>
      <c r="B5" s="9" t="inlineStr">
        <is>
          <t>IHS/FRO Gen2 (XDR)</t>
        </is>
      </c>
      <c r="C5" s="9" t="inlineStr">
        <is>
          <t>active</t>
        </is>
      </c>
      <c r="D5" s="9" t="inlineStr">
        <is>
          <t>—</t>
        </is>
      </c>
      <c r="E5" s="9" t="inlineStr">
        <is>
          <t>980-9IAU0-00XM01</t>
        </is>
      </c>
      <c r="F5" s="9" t="inlineStr">
        <is>
          <t>1600G</t>
        </is>
      </c>
      <c r="G5" s="9" t="inlineStr">
        <is>
          <t>OSFP-finned</t>
        </is>
      </c>
      <c r="H5" s="9" t="inlineStr">
        <is>
          <t>2x 800Gb/s MPO-12/APC</t>
        </is>
      </c>
      <c r="I5" s="9" t="inlineStr">
        <is>
          <t>SM</t>
        </is>
      </c>
      <c r="J5" s="9" t="inlineStr">
        <is>
          <t>max 500 m</t>
        </is>
      </c>
      <c r="K5" s="9" t="inlineStr">
        <is>
          <t>IB</t>
        </is>
      </c>
      <c r="L5" s="9" t="inlineStr">
        <is>
          <t>NVIDIA MMS4C1X FRO 1600Gbps, 2xDR4, Twin-port OSFP, 2xMPO (APC), 1310nm Single Mode Transceiver (up to 500m)</t>
        </is>
      </c>
      <c r="M5" s="14" t="inlineStr">
        <is>
          <t>https://networking-docs.nvidia.com/9iau000xmosfptcvr1600</t>
        </is>
      </c>
    </row>
    <row r="6" ht="15" customHeight="1" s="10">
      <c r="A6" s="9" t="inlineStr">
        <is>
          <t>MMS4C11</t>
        </is>
      </c>
      <c r="B6" s="9" t="inlineStr">
        <is>
          <t>RHS/FRO Gen2 (Ethernet)</t>
        </is>
      </c>
      <c r="C6" s="9" t="inlineStr">
        <is>
          <t>active</t>
        </is>
      </c>
      <c r="D6" s="9" t="inlineStr">
        <is>
          <t>—</t>
        </is>
      </c>
      <c r="E6" s="9" t="inlineStr">
        <is>
          <t>980-9IAU1-00XM00</t>
        </is>
      </c>
      <c r="F6" s="9" t="inlineStr">
        <is>
          <t>1600G</t>
        </is>
      </c>
      <c r="G6" s="9" t="inlineStr">
        <is>
          <t>OSFP-flattop</t>
        </is>
      </c>
      <c r="H6" s="9" t="inlineStr">
        <is>
          <t>2x 800Gb/s MPO-12/APC</t>
        </is>
      </c>
      <c r="I6" s="9" t="inlineStr">
        <is>
          <t>SM</t>
        </is>
      </c>
      <c r="J6" s="9" t="inlineStr">
        <is>
          <t>max 500 m</t>
        </is>
      </c>
      <c r="K6" s="9" t="inlineStr">
        <is>
          <t>ETH</t>
        </is>
      </c>
      <c r="L6" s="9" t="inlineStr">
        <is>
          <t>NVIDIA MMS4C1X FRO 1600Gbps, 2xDR4, Twin-port OSFP, 2xMPO (APC), 1310nm Single Mode Transceiver (up to 500m)</t>
        </is>
      </c>
      <c r="M6" s="14" t="inlineStr">
        <is>
          <t>https://networking-docs.nvidia.com/9iau000xmosfptcvr1600</t>
        </is>
      </c>
    </row>
    <row r="7" ht="15" customHeight="1" s="10">
      <c r="A7" s="9" t="inlineStr">
        <is>
          <t>MMS4C11</t>
        </is>
      </c>
      <c r="B7" s="9" t="inlineStr">
        <is>
          <t>IHS/FRO Gen2 (Ethernet)</t>
        </is>
      </c>
      <c r="C7" s="9" t="inlineStr">
        <is>
          <t>active</t>
        </is>
      </c>
      <c r="D7" s="9" t="inlineStr">
        <is>
          <t>—</t>
        </is>
      </c>
      <c r="E7" s="9" t="inlineStr">
        <is>
          <t>980-9IAU1-00XM01</t>
        </is>
      </c>
      <c r="F7" s="9" t="inlineStr">
        <is>
          <t>1600G</t>
        </is>
      </c>
      <c r="G7" s="9" t="inlineStr">
        <is>
          <t>OSFP-finned</t>
        </is>
      </c>
      <c r="H7" s="9" t="inlineStr">
        <is>
          <t>2x 800Gb/s MPO-12/APC</t>
        </is>
      </c>
      <c r="I7" s="9" t="inlineStr">
        <is>
          <t>SM</t>
        </is>
      </c>
      <c r="J7" s="9" t="inlineStr">
        <is>
          <t>max 500 m</t>
        </is>
      </c>
      <c r="K7" s="9" t="inlineStr">
        <is>
          <t>ETH</t>
        </is>
      </c>
      <c r="L7" s="9" t="inlineStr">
        <is>
          <t>NVIDIA MMS4C1X FRO 1600Gbps, 2xDR4, Twin-port OSFP, 2xMPO (APC), 1310nm Single Mode Transceiver (up to 500m)</t>
        </is>
      </c>
      <c r="M7" s="14" t="inlineStr">
        <is>
          <t>https://networking-docs.nvidia.com/9iau000xmosfptcvr1600</t>
        </is>
      </c>
    </row>
    <row r="8" ht="15" customHeight="1" s="10">
      <c r="A8" s="9" t="inlineStr">
        <is>
          <t>MMS4A00</t>
        </is>
      </c>
      <c r="B8" s="9" t="inlineStr">
        <is>
          <t>IHS</t>
        </is>
      </c>
      <c r="C8" s="9" t="inlineStr">
        <is>
          <t>active</t>
        </is>
      </c>
      <c r="D8" s="9" t="inlineStr">
        <is>
          <t>MMS4A00</t>
        </is>
      </c>
      <c r="E8" s="9" t="inlineStr">
        <is>
          <t>980-9IAH1-00XM00</t>
        </is>
      </c>
      <c r="F8" s="9" t="inlineStr">
        <is>
          <t>1600G</t>
        </is>
      </c>
      <c r="G8" s="9" t="inlineStr">
        <is>
          <t>OSFP-finned</t>
        </is>
      </c>
      <c r="H8" s="9" t="inlineStr">
        <is>
          <t>2x 800Gb/s MPO-12/APC</t>
        </is>
      </c>
      <c r="I8" s="9" t="inlineStr">
        <is>
          <t>SM</t>
        </is>
      </c>
      <c r="J8" s="9" t="inlineStr">
        <is>
          <t>max 500 m</t>
        </is>
      </c>
      <c r="K8" s="9" t="inlineStr">
        <is>
          <t>IB</t>
        </is>
      </c>
      <c r="L8" s="9" t="inlineStr">
        <is>
          <t>NVIDIA MMS4A00 1600Gbps, 2xDR4, Twin-port OSFP, 2xMPO, 1310nm Single Mode Transceiver (up to 500m)</t>
        </is>
      </c>
      <c r="M8" s="14" t="inlineStr">
        <is>
          <t>https://networking-docs.nvidia.com/9iahx00xmosfptcvr1600</t>
        </is>
      </c>
    </row>
    <row r="9" ht="15" customHeight="1" s="10">
      <c r="A9" s="9" t="inlineStr">
        <is>
          <t>MMS4A00</t>
        </is>
      </c>
      <c r="B9" s="9" t="inlineStr">
        <is>
          <t>RHS</t>
        </is>
      </c>
      <c r="C9" s="9" t="inlineStr">
        <is>
          <t>planned</t>
        </is>
      </c>
      <c r="D9" s="9" t="inlineStr">
        <is>
          <t>—</t>
        </is>
      </c>
      <c r="E9" s="9" t="inlineStr">
        <is>
          <t>980-9IAH0-00XM00</t>
        </is>
      </c>
      <c r="F9" s="9" t="inlineStr">
        <is>
          <t>1600G</t>
        </is>
      </c>
      <c r="G9" s="9" t="inlineStr">
        <is>
          <t>OSFP-flattop</t>
        </is>
      </c>
      <c r="H9" s="9" t="inlineStr">
        <is>
          <t>2x 800Gb/s MPO-12/APC</t>
        </is>
      </c>
      <c r="I9" s="9" t="inlineStr">
        <is>
          <t>SM</t>
        </is>
      </c>
      <c r="J9" s="9" t="inlineStr">
        <is>
          <t>max 500 m</t>
        </is>
      </c>
      <c r="K9" s="9" t="inlineStr">
        <is>
          <t>IB</t>
        </is>
      </c>
      <c r="L9" s="9" t="inlineStr">
        <is>
          <t>NVIDIA MMS4A00 1600Gbps, 2xDR4, Twin-port OSFP, 2xMPO, 1310nm Single Mode Transceiver (up to 500m)</t>
        </is>
      </c>
      <c r="M9" s="14" t="inlineStr">
        <is>
          <t>https://networking-docs.nvidia.com/9iahx00xmosfptcvr1600</t>
        </is>
      </c>
    </row>
    <row r="10" ht="15" customHeight="1" s="10">
      <c r="A10" s="9" t="inlineStr">
        <is>
          <t>MMS4A50</t>
        </is>
      </c>
      <c r="B10" s="9" t="inlineStr">
        <is>
          <t>RHS</t>
        </is>
      </c>
      <c r="C10" s="9" t="inlineStr">
        <is>
          <t>active</t>
        </is>
      </c>
      <c r="D10" s="9" t="inlineStr">
        <is>
          <t>—</t>
        </is>
      </c>
      <c r="E10" s="9" t="inlineStr">
        <is>
          <t>980-9IAS1-00XM00</t>
        </is>
      </c>
      <c r="F10" s="9" t="inlineStr">
        <is>
          <t>1600G</t>
        </is>
      </c>
      <c r="G10" s="9" t="inlineStr">
        <is>
          <t>OSFP-flattop</t>
        </is>
      </c>
      <c r="H10" s="9" t="inlineStr">
        <is>
          <t>2x 800Gb/s Dual LC Duplex</t>
        </is>
      </c>
      <c r="I10" s="9" t="inlineStr">
        <is>
          <t>SM</t>
        </is>
      </c>
      <c r="J10" s="9" t="inlineStr">
        <is>
          <t>max 2000 m</t>
        </is>
      </c>
      <c r="K10" s="9" t="inlineStr">
        <is>
          <t>IB/ETH</t>
        </is>
      </c>
      <c r="L10" s="9" t="inlineStr">
        <is>
          <t>NVIDIA MMS4A50 1600Gbps, OSFP, 2xLC-LC, 1310nm SMF, 2xFR4 Twin-port Transceiver (up to 2km)</t>
        </is>
      </c>
      <c r="M10" s="14" t="inlineStr">
        <is>
          <t>https://networking-docs.nvidia.com/mms4a501600gosfp</t>
        </is>
      </c>
    </row>
    <row r="11" ht="15" customHeight="1" s="10">
      <c r="A11" s="9" t="inlineStr">
        <is>
          <t>MMS4A50</t>
        </is>
      </c>
      <c r="B11" s="9" t="inlineStr">
        <is>
          <t>IHS</t>
        </is>
      </c>
      <c r="C11" s="9" t="inlineStr">
        <is>
          <t>active</t>
        </is>
      </c>
      <c r="D11" s="9" t="inlineStr">
        <is>
          <t>—</t>
        </is>
      </c>
      <c r="E11" s="9" t="inlineStr">
        <is>
          <t>980-9IAS0-00XM00</t>
        </is>
      </c>
      <c r="F11" s="9" t="inlineStr">
        <is>
          <t>1600G</t>
        </is>
      </c>
      <c r="G11" s="9" t="inlineStr">
        <is>
          <t>OSFP-finned</t>
        </is>
      </c>
      <c r="H11" s="9" t="inlineStr">
        <is>
          <t>2x 800Gb/s Dual LC Duplex</t>
        </is>
      </c>
      <c r="I11" s="9" t="inlineStr">
        <is>
          <t>SM</t>
        </is>
      </c>
      <c r="J11" s="9" t="inlineStr">
        <is>
          <t>max 2000 m</t>
        </is>
      </c>
      <c r="K11" s="9" t="inlineStr">
        <is>
          <t>IB/ETH</t>
        </is>
      </c>
      <c r="L11" s="9" t="inlineStr">
        <is>
          <t>NVIDIA MMS4A50 1600Gbps, OSFP, 2xLC-LC, 1310nm SMF, 2xFR4 Twin-port Transceiver (up to 2km)</t>
        </is>
      </c>
      <c r="M11" s="14" t="inlineStr">
        <is>
          <t>https://networking-docs.nvidia.com/mms4a501600gosfp</t>
        </is>
      </c>
    </row>
    <row r="12" ht="15" customHeight="1" s="10">
      <c r="A12" s="9" t="inlineStr">
        <is>
          <t>MMA1Z00-NS400</t>
        </is>
      </c>
      <c r="B12" s="9" t="inlineStr">
        <is>
          <t>—</t>
        </is>
      </c>
      <c r="C12" s="9" t="inlineStr">
        <is>
          <t>active</t>
        </is>
      </c>
      <c r="D12" s="9" t="inlineStr">
        <is>
          <t>MMA1Z00-NS400</t>
        </is>
      </c>
      <c r="E12" s="9" t="inlineStr">
        <is>
          <t>980-9I693-00NS00</t>
        </is>
      </c>
      <c r="F12" s="9" t="inlineStr">
        <is>
          <t>400G</t>
        </is>
      </c>
      <c r="G12" s="9" t="inlineStr">
        <is>
          <t>QSFP112</t>
        </is>
      </c>
      <c r="H12" s="9" t="inlineStr">
        <is>
          <t>1x 400Gb/s MPO-12/APC</t>
        </is>
      </c>
      <c r="I12" s="9" t="inlineStr">
        <is>
          <t>MM</t>
        </is>
      </c>
      <c r="J12" s="9" t="inlineStr">
        <is>
          <t>OM3 30 m, OM4 50 m, max 50 m</t>
        </is>
      </c>
      <c r="K12" s="9" t="inlineStr">
        <is>
          <t>IB/ETH</t>
        </is>
      </c>
      <c r="L12" s="9" t="inlineStr">
        <is>
          <t>MMA1Z00-NS400 400Gb/s, Single-port, QSFP112 Multimode SR4 Transceivers Product Specifications</t>
        </is>
      </c>
      <c r="M12" s="14" t="inlineStr">
        <is>
          <t>https://networking-docs.nvidia.com/mms1z00ns400sr4</t>
        </is>
      </c>
    </row>
    <row r="13" ht="15" customHeight="1" s="10">
      <c r="A13" s="9" t="inlineStr">
        <is>
          <t>MMS1V00-WM</t>
        </is>
      </c>
      <c r="B13" s="9" t="inlineStr">
        <is>
          <t>—</t>
        </is>
      </c>
      <c r="C13" s="9" t="inlineStr">
        <is>
          <t>active</t>
        </is>
      </c>
      <c r="D13" s="9" t="inlineStr">
        <is>
          <t>MMS1V00-WM</t>
        </is>
      </c>
      <c r="E13" s="9" t="inlineStr">
        <is>
          <t>980-9I16Y-00W000</t>
        </is>
      </c>
      <c r="F13" s="9" t="inlineStr">
        <is>
          <t>400G</t>
        </is>
      </c>
      <c r="G13" s="9" t="inlineStr">
        <is>
          <t>QSFP-DD</t>
        </is>
      </c>
      <c r="H13" s="9" t="inlineStr">
        <is>
          <t>1x 400Gb/s MPO-12/APC</t>
        </is>
      </c>
      <c r="I13" s="9" t="inlineStr">
        <is>
          <t>SM</t>
        </is>
      </c>
      <c r="J13" s="9" t="inlineStr">
        <is>
          <t>max 500 m</t>
        </is>
      </c>
      <c r="K13" s="9" t="inlineStr">
        <is>
          <t>ETH</t>
        </is>
      </c>
      <c r="L13" s="9" t="inlineStr">
        <is>
          <t>MMS1V00-WM 400GbE QSFP-DD DR4 Transceiver Product Specifications</t>
        </is>
      </c>
      <c r="M13" s="14" t="inlineStr">
        <is>
          <t>https://networking-docs.nvidia.com/mms1v00wm10</t>
        </is>
      </c>
    </row>
    <row r="14" ht="15" customHeight="1" s="10">
      <c r="A14" s="9" t="inlineStr">
        <is>
          <t>MMS4X00-NS400</t>
        </is>
      </c>
      <c r="B14" s="9" t="inlineStr">
        <is>
          <t>—</t>
        </is>
      </c>
      <c r="C14" s="9" t="inlineStr">
        <is>
          <t>active</t>
        </is>
      </c>
      <c r="D14" s="9" t="inlineStr">
        <is>
          <t>MMS4X00-NS400</t>
        </is>
      </c>
      <c r="E14" s="9" t="inlineStr">
        <is>
          <t>980-9I31N-00NM00</t>
        </is>
      </c>
      <c r="F14" s="9" t="inlineStr">
        <is>
          <t>400G</t>
        </is>
      </c>
      <c r="G14" s="9" t="inlineStr">
        <is>
          <t>OSFP-flattop</t>
        </is>
      </c>
      <c r="H14" s="9" t="inlineStr">
        <is>
          <t>1x 400Gb/s MPO-12/APC</t>
        </is>
      </c>
      <c r="I14" s="9" t="inlineStr">
        <is>
          <t>SM</t>
        </is>
      </c>
      <c r="J14" s="9" t="inlineStr">
        <is>
          <t>max 100 m</t>
        </is>
      </c>
      <c r="K14" s="9" t="inlineStr">
        <is>
          <t>IB/ETH</t>
        </is>
      </c>
      <c r="L14" s="9" t="inlineStr">
        <is>
          <t>MMS4X00-NS400 400Gb/s Single-port OSFP Single Mode DR4 Transceivers Product Specifications</t>
        </is>
      </c>
      <c r="M14" s="14" t="inlineStr">
        <is>
          <t>https://networking-docs.nvidia.com/mms4x00ns400</t>
        </is>
      </c>
    </row>
    <row r="15" ht="15" customHeight="1" s="10">
      <c r="A15" s="9" t="inlineStr">
        <is>
          <t>MMA4Z00-NS400</t>
        </is>
      </c>
      <c r="B15" s="9" t="inlineStr">
        <is>
          <t>—</t>
        </is>
      </c>
      <c r="C15" s="9" t="inlineStr">
        <is>
          <t>active</t>
        </is>
      </c>
      <c r="D15" s="9" t="inlineStr">
        <is>
          <t>MMA4Z00-NS400</t>
        </is>
      </c>
      <c r="E15" s="9" t="inlineStr">
        <is>
          <t>980-9I51S-00NS00</t>
        </is>
      </c>
      <c r="F15" s="9" t="inlineStr">
        <is>
          <t>400G</t>
        </is>
      </c>
      <c r="G15" s="9" t="inlineStr">
        <is>
          <t>OSFP-flattop</t>
        </is>
      </c>
      <c r="H15" s="9" t="inlineStr">
        <is>
          <t>1x 400Gb/s MPO-12/APC</t>
        </is>
      </c>
      <c r="I15" s="9" t="inlineStr">
        <is>
          <t>MM</t>
        </is>
      </c>
      <c r="J15" s="9" t="inlineStr">
        <is>
          <t>OM3 30 m, OM4 50 m, max 50 m</t>
        </is>
      </c>
      <c r="K15" s="9" t="inlineStr">
        <is>
          <t>IB/ETH</t>
        </is>
      </c>
      <c r="L15" s="9" t="inlineStr">
        <is>
          <t>MMA4Z00-NS400 400Gb/s Single-port OSFP 400Gb/s Multimode SR4 50m</t>
        </is>
      </c>
      <c r="M15" s="14" t="inlineStr">
        <is>
          <t>https://networking-docs.nvidia.com/mma4z00ns400</t>
        </is>
      </c>
    </row>
    <row r="16" ht="15" customHeight="1" s="10">
      <c r="A16" s="9" t="inlineStr">
        <is>
          <t>MMA4Z00-NS400-T</t>
        </is>
      </c>
      <c r="B16" s="9" t="inlineStr">
        <is>
          <t>—</t>
        </is>
      </c>
      <c r="C16" s="9" t="inlineStr">
        <is>
          <t>active</t>
        </is>
      </c>
      <c r="D16" s="9" t="inlineStr">
        <is>
          <t>MMA4Z00-NS400-T</t>
        </is>
      </c>
      <c r="E16" s="9" t="inlineStr">
        <is>
          <t>980-9I51S-F4NS00</t>
        </is>
      </c>
      <c r="F16" s="9" t="inlineStr">
        <is>
          <t>400G</t>
        </is>
      </c>
      <c r="G16" s="9" t="inlineStr">
        <is>
          <t>OSFP-flattop</t>
        </is>
      </c>
      <c r="H16" s="9" t="inlineStr">
        <is>
          <t>1x 400Gb/s MPO-12/APC</t>
        </is>
      </c>
      <c r="I16" s="9" t="inlineStr">
        <is>
          <t>MM</t>
        </is>
      </c>
      <c r="J16" s="9" t="inlineStr">
        <is>
          <t>max 50 m</t>
        </is>
      </c>
      <c r="K16" s="9" t="inlineStr">
        <is>
          <t>ETH</t>
        </is>
      </c>
      <c r="L16" s="9" t="inlineStr">
        <is>
          <t>MMA4Z00-NS400-T 400Gb/s Single-port OSFP 400Gb/s Multimode 50m</t>
        </is>
      </c>
      <c r="M16" s="14" t="inlineStr">
        <is>
          <t>https://networking-docs.nvidia.com/mma4z00ns400t</t>
        </is>
      </c>
    </row>
    <row r="17" ht="15" customHeight="1" s="10">
      <c r="A17" s="9" t="inlineStr">
        <is>
          <t>MMA1Z00-NS400-T</t>
        </is>
      </c>
      <c r="B17" s="9" t="inlineStr">
        <is>
          <t>—</t>
        </is>
      </c>
      <c r="C17" s="9" t="inlineStr">
        <is>
          <t>active</t>
        </is>
      </c>
      <c r="D17" s="9" t="inlineStr">
        <is>
          <t>MMA1Z00-NS400-T</t>
        </is>
      </c>
      <c r="E17" s="9" t="inlineStr">
        <is>
          <t>980-9I693-F4NS00</t>
        </is>
      </c>
      <c r="F17" s="9" t="inlineStr">
        <is>
          <t>400G</t>
        </is>
      </c>
      <c r="G17" s="9" t="inlineStr">
        <is>
          <t>QSFP112</t>
        </is>
      </c>
      <c r="H17" s="9" t="inlineStr">
        <is>
          <t>1x 400Gb/s MPO-12/APC</t>
        </is>
      </c>
      <c r="I17" s="9" t="inlineStr">
        <is>
          <t>MM</t>
        </is>
      </c>
      <c r="J17" s="9" t="inlineStr">
        <is>
          <t>max 50 m</t>
        </is>
      </c>
      <c r="K17" s="9" t="inlineStr">
        <is>
          <t>ETH</t>
        </is>
      </c>
      <c r="L17" s="9" t="inlineStr">
        <is>
          <t>NVIDIA MMA1Z00-NS400-T 400Gb/s, Single-port, QSFP112 Multimode Transceivers Product Specifications</t>
        </is>
      </c>
      <c r="M17" s="14" t="inlineStr">
        <is>
          <t>https://networking-docs.nvidia.com/mma1z00ns400t</t>
        </is>
      </c>
    </row>
    <row r="18" ht="15" customHeight="1" s="10">
      <c r="A18" s="9" t="inlineStr">
        <is>
          <t>MMS1X00-NS400</t>
        </is>
      </c>
      <c r="B18" s="9" t="inlineStr">
        <is>
          <t>—</t>
        </is>
      </c>
      <c r="C18" s="9" t="inlineStr">
        <is>
          <t>active</t>
        </is>
      </c>
      <c r="D18" s="9" t="inlineStr">
        <is>
          <t>MMS1X00-NS400</t>
        </is>
      </c>
      <c r="E18" s="9" t="inlineStr">
        <is>
          <t>980-9I068-00NM00</t>
        </is>
      </c>
      <c r="F18" s="9" t="inlineStr">
        <is>
          <t>400G</t>
        </is>
      </c>
      <c r="G18" s="9" t="inlineStr">
        <is>
          <t>QSFP112</t>
        </is>
      </c>
      <c r="H18" s="9" t="inlineStr">
        <is>
          <t>1x 400Gb/s MPO-12/APC</t>
        </is>
      </c>
      <c r="I18" s="9" t="inlineStr">
        <is>
          <t>SM</t>
        </is>
      </c>
      <c r="J18" s="9" t="inlineStr">
        <is>
          <t>max 500 m, ordering_descriptionax 100 m</t>
        </is>
      </c>
      <c r="K18" s="9" t="inlineStr">
        <is>
          <t>IB/ETH</t>
        </is>
      </c>
      <c r="L18" s="9" t="inlineStr">
        <is>
          <t>NVIDIA MMS1X00-NS400 400Gb/s Single-port QSFP112 Single Mode Transceivers Product Specifications</t>
        </is>
      </c>
      <c r="M18" s="14" t="inlineStr">
        <is>
          <t>https://networking-docs.nvidia.com/mms1x00ns400</t>
        </is>
      </c>
    </row>
    <row r="19" ht="15" customHeight="1" s="10">
      <c r="A19" s="9" t="inlineStr">
        <is>
          <t>MMS1V70-CM</t>
        </is>
      </c>
      <c r="B19" s="9" t="inlineStr">
        <is>
          <t>—</t>
        </is>
      </c>
      <c r="C19" s="9" t="inlineStr">
        <is>
          <t>active</t>
        </is>
      </c>
      <c r="D19" s="9" t="inlineStr">
        <is>
          <t>MMS1V70-CM</t>
        </is>
      </c>
      <c r="E19" s="9" t="inlineStr">
        <is>
          <t>980-9I042-00C000</t>
        </is>
      </c>
      <c r="F19" s="9" t="inlineStr">
        <is>
          <t>100G</t>
        </is>
      </c>
      <c r="G19" s="9" t="inlineStr">
        <is>
          <t>QSFP28</t>
        </is>
      </c>
      <c r="H19" s="9" t="inlineStr">
        <is>
          <t>1x 100Gb/s LC duplex</t>
        </is>
      </c>
      <c r="I19" s="9" t="inlineStr">
        <is>
          <t>SM</t>
        </is>
      </c>
      <c r="J19" s="9" t="inlineStr">
        <is>
          <t>max 500 m</t>
        </is>
      </c>
      <c r="K19" s="9" t="inlineStr">
        <is>
          <t>ETH</t>
        </is>
      </c>
      <c r="L19" s="9" t="inlineStr">
        <is>
          <t>MMS1V70-CM 100GbE QSFP28 DR1</t>
        </is>
      </c>
      <c r="M19" s="14" t="inlineStr">
        <is>
          <t>https://networking-docs.nvidia.com/mms1v70cm10</t>
        </is>
      </c>
    </row>
    <row r="20" ht="15" customHeight="1" s="10">
      <c r="A20" s="9" t="inlineStr">
        <is>
          <t>MMA1B00-C100D</t>
        </is>
      </c>
      <c r="B20" s="9" t="inlineStr">
        <is>
          <t>—</t>
        </is>
      </c>
      <c r="C20" s="9" t="inlineStr">
        <is>
          <t>active</t>
        </is>
      </c>
      <c r="D20" s="9" t="inlineStr">
        <is>
          <t>MMA1B00-C100D</t>
        </is>
      </c>
      <c r="E20" s="9" t="inlineStr">
        <is>
          <t>980-9I149-00CS00</t>
        </is>
      </c>
      <c r="F20" s="9" t="inlineStr">
        <is>
          <t>100G</t>
        </is>
      </c>
      <c r="G20" s="9" t="inlineStr">
        <is>
          <t>QSFP28</t>
        </is>
      </c>
      <c r="H20" s="9" t="inlineStr">
        <is>
          <t>1x 100Gb/s MPO-12/UPC</t>
        </is>
      </c>
      <c r="I20" s="9" t="inlineStr">
        <is>
          <t>MM</t>
        </is>
      </c>
      <c r="J20" s="9" t="inlineStr">
        <is>
          <t>OM3 70 m, OM4 100 m, max 100 m</t>
        </is>
      </c>
      <c r="K20" s="9" t="inlineStr">
        <is>
          <t>ETH</t>
        </is>
      </c>
      <c r="L20" s="9" t="inlineStr">
        <is>
          <t>MMA1B00-C100D 100GbE QSFP28 MMF SR4</t>
        </is>
      </c>
      <c r="M20" s="14" t="inlineStr">
        <is>
          <t>https://networking-docs.nvidia.com/mma1b00c100dspec</t>
        </is>
      </c>
    </row>
    <row r="21" ht="15" customHeight="1" s="10">
      <c r="A21" s="9" t="inlineStr">
        <is>
          <t>MMS4C10-XM800</t>
        </is>
      </c>
      <c r="B21" s="9" t="inlineStr">
        <is>
          <t>RHS/FRO Gen2</t>
        </is>
      </c>
      <c r="C21" s="9" t="inlineStr">
        <is>
          <t>prototype</t>
        </is>
      </c>
      <c r="D21" s="9" t="inlineStr">
        <is>
          <t>—</t>
        </is>
      </c>
      <c r="E21" s="9" t="inlineStr">
        <is>
          <t>980-9IAY0-00XM00</t>
        </is>
      </c>
      <c r="F21" s="9" t="inlineStr">
        <is>
          <t>800G</t>
        </is>
      </c>
      <c r="G21" s="9" t="inlineStr">
        <is>
          <t>OSFP-flattop</t>
        </is>
      </c>
      <c r="H21" s="9" t="inlineStr">
        <is>
          <t>1x 800Gb/s MPO-12/APC</t>
        </is>
      </c>
      <c r="I21" s="9" t="inlineStr">
        <is>
          <t>SM</t>
        </is>
      </c>
      <c r="J21" s="9" t="inlineStr">
        <is>
          <t>max 500 m</t>
        </is>
      </c>
      <c r="K21" s="9" t="inlineStr">
        <is>
          <t>IB/ETH</t>
        </is>
      </c>
      <c r="L21" s="9" t="inlineStr">
        <is>
          <t>NVIDIA MMS4C10-XM800 800Gbps, 2xDR4, Twin-port OSFP, 2xMPO (APC), 1310nm Single Mode Transceiver</t>
        </is>
      </c>
      <c r="M21" s="14" t="inlineStr">
        <is>
          <t>https://networking-docs.nvidia.com/mms4c1x800</t>
        </is>
      </c>
    </row>
    <row r="22" ht="15" customHeight="1" s="10">
      <c r="A22" s="9" t="inlineStr">
        <is>
          <t>MMS4X00-NM-T</t>
        </is>
      </c>
      <c r="B22" s="9" t="inlineStr">
        <is>
          <t>—</t>
        </is>
      </c>
      <c r="C22" s="9" t="inlineStr">
        <is>
          <t>active</t>
        </is>
      </c>
      <c r="D22" s="9" t="inlineStr">
        <is>
          <t>MMS4X00-NM-T</t>
        </is>
      </c>
      <c r="E22" s="9" t="inlineStr">
        <is>
          <t>980-9I30G-F4NM00</t>
        </is>
      </c>
      <c r="F22" s="9" t="inlineStr">
        <is>
          <t>800G</t>
        </is>
      </c>
      <c r="G22" s="9" t="inlineStr">
        <is>
          <t>OSFP-finned</t>
        </is>
      </c>
      <c r="H22" s="9" t="inlineStr">
        <is>
          <t>2x 400Gb/s MPO-12/APC</t>
        </is>
      </c>
      <c r="I22" s="9" t="inlineStr">
        <is>
          <t>SM</t>
        </is>
      </c>
      <c r="J22" s="9" t="inlineStr">
        <is>
          <t>max 500 m</t>
        </is>
      </c>
      <c r="K22" s="9" t="inlineStr">
        <is>
          <t>ETH</t>
        </is>
      </c>
      <c r="L22" s="9" t="inlineStr">
        <is>
          <t>MMS4X00-NM-T 800Gbps Twin-port OSFP 2x400Gb/s Single Mode 500m</t>
        </is>
      </c>
      <c r="M22" s="14" t="inlineStr">
        <is>
          <t>https://networking-docs.nvidia.com/mms4x00nmt800g</t>
        </is>
      </c>
    </row>
    <row r="23" ht="15" customHeight="1" s="10">
      <c r="A23" s="9" t="inlineStr">
        <is>
          <t>MMS4X00-NM</t>
        </is>
      </c>
      <c r="B23" s="9" t="inlineStr">
        <is>
          <t>finned</t>
        </is>
      </c>
      <c r="C23" s="9" t="inlineStr">
        <is>
          <t>active</t>
        </is>
      </c>
      <c r="D23" s="9" t="inlineStr">
        <is>
          <t>MMS4X00-NM</t>
        </is>
      </c>
      <c r="E23" s="9" t="inlineStr">
        <is>
          <t>980-9I30G-00NM00</t>
        </is>
      </c>
      <c r="F23" s="9" t="inlineStr">
        <is>
          <t>800G</t>
        </is>
      </c>
      <c r="G23" s="9" t="inlineStr">
        <is>
          <t>OSFP-finned</t>
        </is>
      </c>
      <c r="H23" s="9" t="inlineStr">
        <is>
          <t>2x 400Gb/s MPO-12/APC</t>
        </is>
      </c>
      <c r="I23" s="9" t="inlineStr">
        <is>
          <t>SM</t>
        </is>
      </c>
      <c r="J23" s="9" t="inlineStr">
        <is>
          <t>max 500 m</t>
        </is>
      </c>
      <c r="K23" s="9" t="inlineStr">
        <is>
          <t>IB/ETH</t>
        </is>
      </c>
      <c r="L23" s="9" t="inlineStr">
        <is>
          <t>MMS4X00-NM 800Gbps Twin-port OSFP 2x400Gb/s InfiniBand and Ethernet Single Mode 2xDR4 500m</t>
        </is>
      </c>
      <c r="M23" s="14" t="inlineStr">
        <is>
          <t>https://networking-docs.nvidia.com/mms4x00nm800g500m</t>
        </is>
      </c>
    </row>
    <row r="24" ht="15" customHeight="1" s="10">
      <c r="A24" s="9" t="inlineStr">
        <is>
          <t>MMS4X00-NM-FLT</t>
        </is>
      </c>
      <c r="B24" s="9" t="inlineStr">
        <is>
          <t>flat-top</t>
        </is>
      </c>
      <c r="C24" s="9" t="inlineStr">
        <is>
          <t>active</t>
        </is>
      </c>
      <c r="D24" s="9" t="inlineStr">
        <is>
          <t>MMS4X00-NM-FLT</t>
        </is>
      </c>
      <c r="E24" s="9" t="inlineStr">
        <is>
          <t>980-9I301-00NM00</t>
        </is>
      </c>
      <c r="F24" s="9" t="inlineStr">
        <is>
          <t>800G</t>
        </is>
      </c>
      <c r="G24" s="9" t="inlineStr">
        <is>
          <t>OSFP-flattop</t>
        </is>
      </c>
      <c r="H24" s="9" t="inlineStr">
        <is>
          <t>2x 400Gb/s MPO-12/APC</t>
        </is>
      </c>
      <c r="I24" s="9" t="inlineStr">
        <is>
          <t>SM</t>
        </is>
      </c>
      <c r="J24" s="9" t="inlineStr">
        <is>
          <t>max 500 m</t>
        </is>
      </c>
      <c r="K24" s="9" t="inlineStr">
        <is>
          <t>IB/ETH</t>
        </is>
      </c>
      <c r="L24" s="9" t="inlineStr">
        <is>
          <t>MMS4X00-NM 800Gbps Twin-port OSFP 2x400Gb/s InfiniBand and Ethernet Single Mode 2xDR4 500m</t>
        </is>
      </c>
      <c r="M24" s="14" t="inlineStr">
        <is>
          <t>https://networking-docs.nvidia.com/mms4x00nm800g500m</t>
        </is>
      </c>
    </row>
    <row r="25" ht="15" customHeight="1" s="10">
      <c r="A25" s="9" t="inlineStr">
        <is>
          <t>MMS4X50-NM</t>
        </is>
      </c>
      <c r="B25" s="9" t="inlineStr">
        <is>
          <t>—</t>
        </is>
      </c>
      <c r="C25" s="9" t="inlineStr">
        <is>
          <t>active</t>
        </is>
      </c>
      <c r="D25" s="9" t="inlineStr">
        <is>
          <t>—</t>
        </is>
      </c>
      <c r="E25" s="9" t="inlineStr">
        <is>
          <t>980-9I30L-00N000</t>
        </is>
      </c>
      <c r="F25" s="9" t="inlineStr">
        <is>
          <t>800G</t>
        </is>
      </c>
      <c r="G25" s="9" t="inlineStr">
        <is>
          <t>OSFP-finned</t>
        </is>
      </c>
      <c r="H25" s="9" t="inlineStr">
        <is>
          <t>2x 400Gb/s Duplex LC</t>
        </is>
      </c>
      <c r="I25" s="9" t="inlineStr">
        <is>
          <t>SM</t>
        </is>
      </c>
      <c r="J25" s="9" t="inlineStr">
        <is>
          <t>max 2000 m</t>
        </is>
      </c>
      <c r="K25" s="9" t="inlineStr">
        <is>
          <t>IB/ETH</t>
        </is>
      </c>
      <c r="L25" s="9" t="inlineStr">
        <is>
          <t>MMS4X50-NM 800Gbps Twin-port OSFP 2xFR4, 2x400Gb/s Single Mode, 2km</t>
        </is>
      </c>
      <c r="M25" s="14" t="inlineStr">
        <is>
          <t>https://networking-docs.nvidia.com/mms4x50nm800g2kmpub</t>
        </is>
      </c>
    </row>
    <row r="26" ht="15" customHeight="1" s="10">
      <c r="A26" s="9" t="inlineStr">
        <is>
          <t>MMS4X00-NS</t>
        </is>
      </c>
      <c r="B26" s="9" t="inlineStr">
        <is>
          <t>finned</t>
        </is>
      </c>
      <c r="C26" s="9" t="inlineStr">
        <is>
          <t>active</t>
        </is>
      </c>
      <c r="D26" s="9" t="inlineStr">
        <is>
          <t>MMS4X00-NS</t>
        </is>
      </c>
      <c r="E26" s="9" t="inlineStr">
        <is>
          <t>980-9I30H-00NM00</t>
        </is>
      </c>
      <c r="F26" s="9" t="inlineStr">
        <is>
          <t>800G</t>
        </is>
      </c>
      <c r="G26" s="9" t="inlineStr">
        <is>
          <t>OSFP-finned</t>
        </is>
      </c>
      <c r="H26" s="9" t="inlineStr">
        <is>
          <t>2x 400Gb/s MPO-12/APC</t>
        </is>
      </c>
      <c r="I26" s="9" t="inlineStr">
        <is>
          <t>SM</t>
        </is>
      </c>
      <c r="J26" s="9" t="inlineStr">
        <is>
          <t>max 100 m</t>
        </is>
      </c>
      <c r="K26" s="9" t="inlineStr">
        <is>
          <t>IB/ETH</t>
        </is>
      </c>
      <c r="L26" s="9" t="inlineStr">
        <is>
          <t>MMS4X00-NS 800Gbps Twin-port OSFP 2x400Gb/s Single Mode 2xDR4 100m</t>
        </is>
      </c>
      <c r="M26" s="14" t="inlineStr">
        <is>
          <t>https://networking-docs.nvidia.com/800gmms4x00ns</t>
        </is>
      </c>
    </row>
    <row r="27" ht="15" customHeight="1" s="10">
      <c r="A27" s="9" t="inlineStr">
        <is>
          <t>MMS4X00-NS-FLT</t>
        </is>
      </c>
      <c r="B27" s="9" t="inlineStr">
        <is>
          <t>flat-top</t>
        </is>
      </c>
      <c r="C27" s="9" t="inlineStr">
        <is>
          <t>active</t>
        </is>
      </c>
      <c r="D27" s="9" t="inlineStr">
        <is>
          <t>MMS4X00-NS-FLT</t>
        </is>
      </c>
      <c r="E27" s="9" t="inlineStr">
        <is>
          <t>980-9I30I-00NM00</t>
        </is>
      </c>
      <c r="F27" s="9" t="inlineStr">
        <is>
          <t>800G</t>
        </is>
      </c>
      <c r="G27" s="9" t="inlineStr">
        <is>
          <t>OSFP-flattop</t>
        </is>
      </c>
      <c r="H27" s="9" t="inlineStr">
        <is>
          <t>2x 400Gb/s MPO-12/APC</t>
        </is>
      </c>
      <c r="I27" s="9" t="inlineStr">
        <is>
          <t>SM</t>
        </is>
      </c>
      <c r="J27" s="9" t="inlineStr">
        <is>
          <t>max 100 m</t>
        </is>
      </c>
      <c r="K27" s="9" t="inlineStr">
        <is>
          <t>IB/ETH</t>
        </is>
      </c>
      <c r="L27" s="9" t="inlineStr">
        <is>
          <t>MMS4X00-NS 800Gbps Twin-port OSFP 2x400Gb/s Single Mode 2xDR4 100m</t>
        </is>
      </c>
      <c r="M27" s="14" t="inlineStr">
        <is>
          <t>https://networking-docs.nvidia.com/800gmms4x00ns</t>
        </is>
      </c>
    </row>
    <row r="28" ht="15" customHeight="1" s="10">
      <c r="A28" s="9" t="inlineStr">
        <is>
          <t>MMA4Z00-NS-T</t>
        </is>
      </c>
      <c r="B28" s="9" t="inlineStr">
        <is>
          <t>—</t>
        </is>
      </c>
      <c r="C28" s="9" t="inlineStr">
        <is>
          <t>active</t>
        </is>
      </c>
      <c r="D28" s="9" t="inlineStr">
        <is>
          <t>MMA4Z00-NS-T</t>
        </is>
      </c>
      <c r="E28" s="9" t="inlineStr">
        <is>
          <t>980-9I510-F4NS00</t>
        </is>
      </c>
      <c r="F28" s="9" t="inlineStr">
        <is>
          <t>800G</t>
        </is>
      </c>
      <c r="G28" s="9" t="inlineStr">
        <is>
          <t>OSFP-finned</t>
        </is>
      </c>
      <c r="H28" s="9" t="inlineStr">
        <is>
          <t>2x 400Gb/s MPO-12/APC</t>
        </is>
      </c>
      <c r="I28" s="9" t="inlineStr">
        <is>
          <t>MM</t>
        </is>
      </c>
      <c r="J28" s="9" t="inlineStr">
        <is>
          <t>OM3 30 m, OM4 50 m, max 50 m</t>
        </is>
      </c>
      <c r="K28" s="9" t="inlineStr">
        <is>
          <t>ETH</t>
        </is>
      </c>
      <c r="L28" s="9" t="inlineStr">
        <is>
          <t>MMA4Z00-NS-T 800Gb/s Twin-port OSFP, 2x400Gb/s Multimode, 50m</t>
        </is>
      </c>
      <c r="M28" s="14" t="inlineStr">
        <is>
          <t>https://networking-docs.nvidia.com/800gmma4z00nst</t>
        </is>
      </c>
    </row>
    <row r="29" ht="15" customHeight="1" s="10">
      <c r="A29" s="9" t="inlineStr">
        <is>
          <t>MMS4X00-NS-T</t>
        </is>
      </c>
      <c r="B29" s="9" t="inlineStr">
        <is>
          <t>—</t>
        </is>
      </c>
      <c r="C29" s="9" t="inlineStr">
        <is>
          <t>active</t>
        </is>
      </c>
      <c r="D29" s="9" t="inlineStr">
        <is>
          <t>MMS4X00-NS-T</t>
        </is>
      </c>
      <c r="E29" s="9" t="inlineStr">
        <is>
          <t>980-9I30H-F4NM00</t>
        </is>
      </c>
      <c r="F29" s="9" t="inlineStr">
        <is>
          <t>800G</t>
        </is>
      </c>
      <c r="G29" s="9" t="inlineStr">
        <is>
          <t>OSFP-finned</t>
        </is>
      </c>
      <c r="H29" s="9" t="inlineStr">
        <is>
          <t>2x 400Gb/s MPO-12/APC</t>
        </is>
      </c>
      <c r="I29" s="9" t="inlineStr">
        <is>
          <t>SM</t>
        </is>
      </c>
      <c r="J29" s="9" t="inlineStr">
        <is>
          <t>max 100 m</t>
        </is>
      </c>
      <c r="K29" s="9" t="inlineStr">
        <is>
          <t>ETH</t>
        </is>
      </c>
      <c r="L29" s="9" t="inlineStr">
        <is>
          <t>MMS4X00-NS-T 800Gbps Twin-port OSFP 2x400Gb/s Single Mode 100m</t>
        </is>
      </c>
      <c r="M29" s="14" t="inlineStr">
        <is>
          <t>https://networking-docs.nvidia.com/800gmms4x00nst</t>
        </is>
      </c>
    </row>
    <row r="30" ht="15" customHeight="1" s="10">
      <c r="A30" s="9" t="inlineStr">
        <is>
          <t>MMS4A20</t>
        </is>
      </c>
      <c r="B30" s="9" t="inlineStr">
        <is>
          <t>RHS</t>
        </is>
      </c>
      <c r="C30" s="9" t="inlineStr">
        <is>
          <t>active</t>
        </is>
      </c>
      <c r="D30" s="9" t="inlineStr">
        <is>
          <t>—</t>
        </is>
      </c>
      <c r="E30" s="9" t="inlineStr">
        <is>
          <t>980-9IAT0-00XM00</t>
        </is>
      </c>
      <c r="F30" s="9" t="inlineStr">
        <is>
          <t>800G</t>
        </is>
      </c>
      <c r="G30" s="9" t="inlineStr">
        <is>
          <t>OSFP-flattop</t>
        </is>
      </c>
      <c r="H30" s="9" t="inlineStr">
        <is>
          <t>1x 800Gb/s MPO-12/APC</t>
        </is>
      </c>
      <c r="I30" s="9" t="inlineStr">
        <is>
          <t>SM</t>
        </is>
      </c>
      <c r="J30" s="9" t="inlineStr">
        <is>
          <t>max 500 m</t>
        </is>
      </c>
      <c r="K30" s="9" t="inlineStr">
        <is>
          <t>IB</t>
        </is>
      </c>
      <c r="L30" s="9" t="inlineStr">
        <is>
          <t>NVIDIA MMS4A20 800Gbps, DR4 Single-port OSFP, MPO, 1310nm Single Mode, RHS (500m) Transceiver</t>
        </is>
      </c>
      <c r="M30" s="14" t="inlineStr">
        <is>
          <t>https://networking-docs.nvidia.com/9iat0mosfp800sprhs</t>
        </is>
      </c>
    </row>
    <row r="31" ht="15" customHeight="1" s="10">
      <c r="A31" s="9" t="inlineStr">
        <is>
          <t>MMS4X00-NM16</t>
        </is>
      </c>
      <c r="B31" s="9" t="inlineStr">
        <is>
          <t>—</t>
        </is>
      </c>
      <c r="C31" s="9" t="inlineStr">
        <is>
          <t>active</t>
        </is>
      </c>
      <c r="D31" s="9" t="inlineStr">
        <is>
          <t>MMS4X00-NM16</t>
        </is>
      </c>
      <c r="E31" s="9" t="inlineStr">
        <is>
          <t>980-9I30J-F4NM00</t>
        </is>
      </c>
      <c r="F31" s="9" t="inlineStr">
        <is>
          <t>800G</t>
        </is>
      </c>
      <c r="G31" s="9" t="inlineStr">
        <is>
          <t>OSFP-finned</t>
        </is>
      </c>
      <c r="H31" s="9" t="inlineStr">
        <is>
          <t>1x 800Gb/s MPO-16/APC</t>
        </is>
      </c>
      <c r="I31" s="9" t="inlineStr">
        <is>
          <t>SM</t>
        </is>
      </c>
      <c r="J31" s="9" t="inlineStr">
        <is>
          <t>max 500 m</t>
        </is>
      </c>
      <c r="K31" s="9" t="inlineStr">
        <is>
          <t>ETH</t>
        </is>
      </c>
      <c r="L31" s="9" t="inlineStr">
        <is>
          <t>MMS4X00-NM16 NVIDIA Ethernet 800Gbps OSFP Twin-port Finned Transceiver OSFP 1xMPO16 1310nm SMF up to 500m</t>
        </is>
      </c>
      <c r="M31" s="14" t="inlineStr">
        <is>
          <t>https://networking-docs.nvidia.com/mms4x00nm16</t>
        </is>
      </c>
    </row>
    <row r="32" ht="15" customHeight="1" s="10">
      <c r="A32" s="9" t="inlineStr">
        <is>
          <t>MMS4X00-NM-HGX</t>
        </is>
      </c>
      <c r="B32" s="9" t="inlineStr">
        <is>
          <t>HGX Rubin NVL8</t>
        </is>
      </c>
      <c r="C32" s="9" t="inlineStr">
        <is>
          <t>active</t>
        </is>
      </c>
      <c r="D32" s="9" t="inlineStr">
        <is>
          <t>MMS4X00-NM-HGX</t>
        </is>
      </c>
      <c r="E32" s="9" t="inlineStr">
        <is>
          <t>980-9I302-00NM00</t>
        </is>
      </c>
      <c r="F32" s="9" t="inlineStr">
        <is>
          <t>800G</t>
        </is>
      </c>
      <c r="G32" s="9" t="inlineStr">
        <is>
          <t>OSFP-flattop</t>
        </is>
      </c>
      <c r="H32" s="9" t="inlineStr">
        <is>
          <t>2x 400Gb/s MPO-12/APC</t>
        </is>
      </c>
      <c r="I32" s="9" t="inlineStr">
        <is>
          <t>SM</t>
        </is>
      </c>
      <c r="J32" s="9" t="inlineStr">
        <is>
          <t>max 500 m</t>
        </is>
      </c>
      <c r="K32" s="9" t="inlineStr">
        <is>
          <t>IB/ETH/NVL</t>
        </is>
      </c>
      <c r="L32" s="9" t="inlineStr">
        <is>
          <t>MMS4X00-NM-HGX 800Gbps Twin-port OSFP 2x400Gb/s InfiniBand and Ethernet Single Mode 2xDR4 500m</t>
        </is>
      </c>
      <c r="M32" s="14" t="inlineStr">
        <is>
          <t>https://networking-docs.nvidia.com/mms4x00nmhgx500</t>
        </is>
      </c>
    </row>
    <row r="33" ht="15" customHeight="1" s="10">
      <c r="A33" s="9" t="inlineStr">
        <is>
          <t>MMS4X90-NR</t>
        </is>
      </c>
      <c r="B33" s="9" t="inlineStr">
        <is>
          <t>—</t>
        </is>
      </c>
      <c r="C33" s="9" t="inlineStr">
        <is>
          <t>active</t>
        </is>
      </c>
      <c r="D33" s="9" t="inlineStr">
        <is>
          <t>—</t>
        </is>
      </c>
      <c r="E33" s="9" t="inlineStr">
        <is>
          <t>—</t>
        </is>
      </c>
      <c r="F33" s="9" t="inlineStr">
        <is>
          <t>800G</t>
        </is>
      </c>
      <c r="G33" s="9" t="inlineStr">
        <is>
          <t>OSFP-finned</t>
        </is>
      </c>
      <c r="H33" s="9" t="inlineStr">
        <is>
          <t>2x 400Gb/s Duplex LC</t>
        </is>
      </c>
      <c r="I33" s="9" t="inlineStr">
        <is>
          <t>SM</t>
        </is>
      </c>
      <c r="J33" s="9" t="inlineStr">
        <is>
          <t>max 10000 m</t>
        </is>
      </c>
      <c r="K33" s="9" t="inlineStr">
        <is>
          <t>IB/ETH</t>
        </is>
      </c>
      <c r="L33" s="9" t="inlineStr">
        <is>
          <t>MMS4X90-NR 800Gbps, 2xLR4, OSFP, 2xLC-LC, 1310nm SMF, Finned Twin-port Transceiver (up to 10km)</t>
        </is>
      </c>
      <c r="M33" s="14" t="inlineStr">
        <is>
          <t>https://networking-docs.nvidia.com/mms4x90nr800g</t>
        </is>
      </c>
    </row>
    <row r="34" ht="15" customHeight="1" s="10">
      <c r="A34" s="9" t="inlineStr">
        <is>
          <t>MMS1W50-HM</t>
        </is>
      </c>
      <c r="B34" s="9" t="inlineStr">
        <is>
          <t>—</t>
        </is>
      </c>
      <c r="C34" s="9" t="inlineStr">
        <is>
          <t>active</t>
        </is>
      </c>
      <c r="D34" s="9" t="inlineStr">
        <is>
          <t>—</t>
        </is>
      </c>
      <c r="E34" s="9" t="inlineStr">
        <is>
          <t>MMS1W50-HM</t>
        </is>
      </c>
      <c r="F34" s="9" t="inlineStr">
        <is>
          <t>200G</t>
        </is>
      </c>
      <c r="G34" s="9" t="inlineStr">
        <is>
          <t>QSFP56</t>
        </is>
      </c>
      <c r="H34" s="9" t="inlineStr">
        <is>
          <t>1x 200Gb/s Duplex LC/UPC</t>
        </is>
      </c>
      <c r="I34" s="9" t="inlineStr">
        <is>
          <t>SM</t>
        </is>
      </c>
      <c r="J34" s="9" t="inlineStr">
        <is>
          <t>max 2000 m</t>
        </is>
      </c>
      <c r="K34" s="9" t="inlineStr">
        <is>
          <t>IB</t>
        </is>
      </c>
      <c r="L34" s="9" t="inlineStr">
        <is>
          <t>MMS1W50-HM 200Gb/s QSFP56 FR4</t>
        </is>
      </c>
      <c r="M34" s="14" t="inlineStr">
        <is>
          <t>https://networking-docs.nvidia.com/mms1w50hmspec</t>
        </is>
      </c>
    </row>
    <row r="35" ht="15" customHeight="1" s="10">
      <c r="A35" s="9" t="inlineStr">
        <is>
          <t>MMA2P00-AS</t>
        </is>
      </c>
      <c r="B35" s="9" t="inlineStr">
        <is>
          <t>—</t>
        </is>
      </c>
      <c r="C35" s="9" t="inlineStr">
        <is>
          <t>active</t>
        </is>
      </c>
      <c r="D35" s="9" t="inlineStr">
        <is>
          <t>—</t>
        </is>
      </c>
      <c r="E35" s="9" t="inlineStr">
        <is>
          <t>MMA2P00-AS</t>
        </is>
      </c>
      <c r="F35" s="9" t="inlineStr">
        <is>
          <t>25G</t>
        </is>
      </c>
      <c r="G35" s="9" t="inlineStr">
        <is>
          <t>SFP28</t>
        </is>
      </c>
      <c r="H35" s="9" t="inlineStr">
        <is>
          <t>1x 25Gb/s Duplex LC/UPC</t>
        </is>
      </c>
      <c r="I35" s="9" t="inlineStr">
        <is>
          <t>MM</t>
        </is>
      </c>
      <c r="J35" s="9" t="inlineStr">
        <is>
          <t>OM3 70 m, OM4 100 m, max 100 m</t>
        </is>
      </c>
      <c r="K35" s="9" t="inlineStr">
        <is>
          <t>ETH</t>
        </is>
      </c>
      <c r="L35" s="9" t="inlineStr">
        <is>
          <t>MMA2P00-AS 25GbE SFP28 MMF Transceiver Product Specifications</t>
        </is>
      </c>
      <c r="M35" s="14" t="inlineStr">
        <is>
          <t>https://networking-docs.nvidia.com/mma2p00asspec</t>
        </is>
      </c>
    </row>
  </sheetData>
  <autoFilter ref="A1:M35"/>
  <hyperlinks>
    <hyperlink xmlns:r="http://schemas.openxmlformats.org/officeDocument/2006/relationships" ref="M2" display="https://networking-docs.nvidia.com/mms4b10xmtro1600g" r:id="rId1"/>
    <hyperlink xmlns:r="http://schemas.openxmlformats.org/officeDocument/2006/relationships" ref="M3" display="https://networking-docs.nvidia.com/mms4b10xmtro1600g" r:id="rId2"/>
    <hyperlink xmlns:r="http://schemas.openxmlformats.org/officeDocument/2006/relationships" ref="M4" display="https://networking-docs.nvidia.com/9iau000xmosfptcvr1600" r:id="rId3"/>
    <hyperlink xmlns:r="http://schemas.openxmlformats.org/officeDocument/2006/relationships" ref="M5" display="https://networking-docs.nvidia.com/9iau000xmosfptcvr1600" r:id="rId4"/>
    <hyperlink xmlns:r="http://schemas.openxmlformats.org/officeDocument/2006/relationships" ref="M6" display="https://networking-docs.nvidia.com/9iau000xmosfptcvr1600" r:id="rId5"/>
    <hyperlink xmlns:r="http://schemas.openxmlformats.org/officeDocument/2006/relationships" ref="M7" display="https://networking-docs.nvidia.com/9iau000xmosfptcvr1600" r:id="rId6"/>
    <hyperlink xmlns:r="http://schemas.openxmlformats.org/officeDocument/2006/relationships" ref="M8" display="https://networking-docs.nvidia.com/9iahx00xmosfptcvr1600" r:id="rId7"/>
    <hyperlink xmlns:r="http://schemas.openxmlformats.org/officeDocument/2006/relationships" ref="M9" display="https://networking-docs.nvidia.com/9iahx00xmosfptcvr1600" r:id="rId8"/>
    <hyperlink xmlns:r="http://schemas.openxmlformats.org/officeDocument/2006/relationships" ref="M10" display="https://networking-docs.nvidia.com/mms4a501600gosfp" r:id="rId9"/>
    <hyperlink xmlns:r="http://schemas.openxmlformats.org/officeDocument/2006/relationships" ref="M11" display="https://networking-docs.nvidia.com/mms4a501600gosfp" r:id="rId10"/>
    <hyperlink xmlns:r="http://schemas.openxmlformats.org/officeDocument/2006/relationships" ref="M12" display="https://networking-docs.nvidia.com/mms1z00ns400sr4" r:id="rId11"/>
    <hyperlink xmlns:r="http://schemas.openxmlformats.org/officeDocument/2006/relationships" ref="M13" display="https://networking-docs.nvidia.com/mms1v00wm10" r:id="rId12"/>
    <hyperlink xmlns:r="http://schemas.openxmlformats.org/officeDocument/2006/relationships" ref="M14" display="https://networking-docs.nvidia.com/mms4x00ns400" r:id="rId13"/>
    <hyperlink xmlns:r="http://schemas.openxmlformats.org/officeDocument/2006/relationships" ref="M15" display="https://networking-docs.nvidia.com/mma4z00ns400" r:id="rId14"/>
    <hyperlink xmlns:r="http://schemas.openxmlformats.org/officeDocument/2006/relationships" ref="M16" display="https://networking-docs.nvidia.com/mma4z00ns400t" r:id="rId15"/>
    <hyperlink xmlns:r="http://schemas.openxmlformats.org/officeDocument/2006/relationships" ref="M17" display="https://networking-docs.nvidia.com/mma1z00ns400t" r:id="rId16"/>
    <hyperlink xmlns:r="http://schemas.openxmlformats.org/officeDocument/2006/relationships" ref="M18" display="https://networking-docs.nvidia.com/mms1x00ns400" r:id="rId17"/>
    <hyperlink xmlns:r="http://schemas.openxmlformats.org/officeDocument/2006/relationships" ref="M19" display="https://networking-docs.nvidia.com/mms1v70cm10" r:id="rId18"/>
    <hyperlink xmlns:r="http://schemas.openxmlformats.org/officeDocument/2006/relationships" ref="M20" display="https://networking-docs.nvidia.com/mma1b00c100dspec" r:id="rId19"/>
    <hyperlink xmlns:r="http://schemas.openxmlformats.org/officeDocument/2006/relationships" ref="M21" display="https://networking-docs.nvidia.com/mms4c1x800" r:id="rId20"/>
    <hyperlink xmlns:r="http://schemas.openxmlformats.org/officeDocument/2006/relationships" ref="M22" display="https://networking-docs.nvidia.com/mms4x00nmt800g" r:id="rId21"/>
    <hyperlink xmlns:r="http://schemas.openxmlformats.org/officeDocument/2006/relationships" ref="M23" display="https://networking-docs.nvidia.com/mms4x00nm800g500m" r:id="rId22"/>
    <hyperlink xmlns:r="http://schemas.openxmlformats.org/officeDocument/2006/relationships" ref="M24" display="https://networking-docs.nvidia.com/mms4x00nm800g500m" r:id="rId23"/>
    <hyperlink xmlns:r="http://schemas.openxmlformats.org/officeDocument/2006/relationships" ref="M25" display="https://networking-docs.nvidia.com/mms4x50nm800g2kmpub" r:id="rId24"/>
    <hyperlink xmlns:r="http://schemas.openxmlformats.org/officeDocument/2006/relationships" ref="M26" display="https://networking-docs.nvidia.com/800gmms4x00ns" r:id="rId25"/>
    <hyperlink xmlns:r="http://schemas.openxmlformats.org/officeDocument/2006/relationships" ref="M27" display="https://networking-docs.nvidia.com/800gmms4x00ns" r:id="rId26"/>
    <hyperlink xmlns:r="http://schemas.openxmlformats.org/officeDocument/2006/relationships" ref="M28" display="https://networking-docs.nvidia.com/800gmma4z00nst" r:id="rId27"/>
    <hyperlink xmlns:r="http://schemas.openxmlformats.org/officeDocument/2006/relationships" ref="M29" display="https://networking-docs.nvidia.com/800gmms4x00nst" r:id="rId28"/>
    <hyperlink xmlns:r="http://schemas.openxmlformats.org/officeDocument/2006/relationships" ref="M30" display="https://networking-docs.nvidia.com/9iat0mosfp800sprhs" r:id="rId29"/>
    <hyperlink xmlns:r="http://schemas.openxmlformats.org/officeDocument/2006/relationships" ref="M31" display="https://networking-docs.nvidia.com/mms4x00nm16" r:id="rId30"/>
    <hyperlink xmlns:r="http://schemas.openxmlformats.org/officeDocument/2006/relationships" ref="M32" display="https://networking-docs.nvidia.com/mms4x00nmhgx500" r:id="rId31"/>
    <hyperlink xmlns:r="http://schemas.openxmlformats.org/officeDocument/2006/relationships" ref="M33" display="https://networking-docs.nvidia.com/mms4x90nr800g" r:id="rId32"/>
    <hyperlink xmlns:r="http://schemas.openxmlformats.org/officeDocument/2006/relationships" ref="M34" display="https://networking-docs.nvidia.com/mms1w50hmspec" r:id="rId33"/>
    <hyperlink xmlns:r="http://schemas.openxmlformats.org/officeDocument/2006/relationships" ref="M35" display="https://networking-docs.nvidia.com/mma2p00asspec" r:id="rId3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20" customWidth="1" style="9" min="2" max="2"/>
    <col width="10" customWidth="1" style="9" min="3" max="3"/>
    <col width="60" customWidth="1" style="9" min="4" max="5"/>
    <col width="10" customWidth="1" style="9" min="6" max="6"/>
    <col width="26" customWidth="1" style="9" min="7" max="7"/>
    <col width="31" customWidth="1" style="9" min="8" max="8"/>
    <col width="10" customWidth="1" style="9" min="9" max="9"/>
    <col width="11" customWidth="1" style="9" min="10" max="10"/>
    <col width="10" customWidth="1" style="9" min="11" max="11"/>
    <col width="60" customWidth="1" style="9" min="12" max="12"/>
    <col width="51" customWidth="1" style="9" min="13" max="13"/>
  </cols>
  <sheetData>
    <row r="1" ht="15" customHeight="1" s="10">
      <c r="A1" s="13" t="inlineStr">
        <is>
          <t>Model</t>
        </is>
      </c>
      <c r="B1" s="13" t="inlineStr">
        <is>
          <t>Variant</t>
        </is>
      </c>
      <c r="C1" s="13" t="inlineStr">
        <is>
          <t>Status</t>
        </is>
      </c>
      <c r="D1" s="13" t="inlineStr">
        <is>
          <t>Legacy OPN</t>
        </is>
      </c>
      <c r="E1" s="13" t="inlineStr">
        <is>
          <t>NVIDIA OPN</t>
        </is>
      </c>
      <c r="F1" s="13" t="inlineStr">
        <is>
          <t>Speed</t>
        </is>
      </c>
      <c r="G1" s="13" t="inlineStr">
        <is>
          <t>Form factor</t>
        </is>
      </c>
      <c r="H1" s="13" t="inlineStr">
        <is>
          <t>Interfaces</t>
        </is>
      </c>
      <c r="I1" s="13" t="inlineStr">
        <is>
          <t>Medium</t>
        </is>
      </c>
      <c r="J1" s="13" t="inlineStr">
        <is>
          <t>Reach</t>
        </is>
      </c>
      <c r="K1" s="13" t="inlineStr">
        <is>
          <t>Fabric</t>
        </is>
      </c>
      <c r="L1" s="13" t="inlineStr">
        <is>
          <t>Description</t>
        </is>
      </c>
      <c r="M1" s="13" t="inlineStr">
        <is>
          <t>Link</t>
        </is>
      </c>
    </row>
    <row r="2" ht="15" customHeight="1" s="10">
      <c r="A2" s="9" t="inlineStr">
        <is>
          <t>MFA7U10-H00x</t>
        </is>
      </c>
      <c r="B2" s="9" t="inlineStr">
        <is>
          <t>finned OSFP head</t>
        </is>
      </c>
      <c r="C2" s="9" t="inlineStr">
        <is>
          <t>active</t>
        </is>
      </c>
      <c r="D2" s="9" t="inlineStr">
        <is>
          <t>MFA7U10-H003 / MFA7U10-H005 / MFA7U10-H010 / MFA7U10-H015 / MFA7U10-H020 / MFA7U10-H030</t>
        </is>
      </c>
      <c r="E2" s="9" t="inlineStr">
        <is>
          <t>980-9I41X-00H003, 980-9I11Z-00H005, 980-9I111-00H010, 980-9I113-00H015, 980-9I115-00H020, 980-9I117-00H030</t>
        </is>
      </c>
      <c r="F2" s="9" t="inlineStr">
        <is>
          <t>400G</t>
        </is>
      </c>
      <c r="G2" s="9" t="inlineStr">
        <is>
          <t>OSFP-finned -&gt; 2xQSFP56</t>
        </is>
      </c>
      <c r="H2" s="9" t="inlineStr">
        <is>
          <t>2x 2x200Gb/s OSFP to 2xQSFP56</t>
        </is>
      </c>
      <c r="I2" s="9" t="inlineStr">
        <is>
          <t>MM</t>
        </is>
      </c>
      <c r="J2" s="9" t="inlineStr">
        <is>
          <t>max 30 m</t>
        </is>
      </c>
      <c r="K2" s="9" t="inlineStr">
        <is>
          <t>IB/ETH</t>
        </is>
      </c>
      <c r="L2" s="9" t="inlineStr">
        <is>
          <t>MFA7U10-H00x 400Gb/s OSFP to 2x200Gb/s QSFP56 HDR Active Optical Splitter Cable</t>
        </is>
      </c>
      <c r="M2" s="14" t="inlineStr">
        <is>
          <t>https://networking-docs.nvidia.com/mfa7u10h00x10</t>
        </is>
      </c>
    </row>
    <row r="3" ht="15" customHeight="1" s="10">
      <c r="A3" s="9" t="inlineStr">
        <is>
          <t>MFA7U10-H00x-FLT</t>
        </is>
      </c>
      <c r="B3" s="9" t="inlineStr">
        <is>
          <t>flat-top OSFP head</t>
        </is>
      </c>
      <c r="C3" s="9" t="inlineStr">
        <is>
          <t>active</t>
        </is>
      </c>
      <c r="D3" s="9" t="inlineStr">
        <is>
          <t>MFA7U10-H003-FLT / MFA7U10-H005-FLT / MFA7U10-H010-FLT / MFA7U10-H015-FLT / MFA7U10-H020-FLT / MFA7U10-H030-FLT</t>
        </is>
      </c>
      <c r="E3" s="9" t="inlineStr">
        <is>
          <t>980-9I41Y-00H003, 980-9I110-00H005, 980-9I112-00H010, 980-9I114-00H015, 980-9I116-00H020, 980-9I118-00H030</t>
        </is>
      </c>
      <c r="F3" s="9" t="inlineStr">
        <is>
          <t>400G</t>
        </is>
      </c>
      <c r="G3" s="9" t="inlineStr">
        <is>
          <t>OSFP-flattop -&gt; 2xQSFP56</t>
        </is>
      </c>
      <c r="H3" s="9" t="inlineStr">
        <is>
          <t>2x 2x200Gb/s OSFP to 2xQSFP56</t>
        </is>
      </c>
      <c r="I3" s="9" t="inlineStr">
        <is>
          <t>MM</t>
        </is>
      </c>
      <c r="J3" s="9" t="inlineStr">
        <is>
          <t>max 30 m</t>
        </is>
      </c>
      <c r="K3" s="9" t="inlineStr">
        <is>
          <t>IB/ETH</t>
        </is>
      </c>
      <c r="L3" s="9" t="inlineStr">
        <is>
          <t>MFA7U10-H00x 400Gb/s OSFP to 2x200Gb/s QSFP56 HDR Active Optical Splitter Cable</t>
        </is>
      </c>
      <c r="M3" s="14" t="inlineStr">
        <is>
          <t>https://networking-docs.nvidia.com/mfa7u10h00x10</t>
        </is>
      </c>
    </row>
    <row r="4" ht="15" customHeight="1" s="10">
      <c r="A4" s="9" t="inlineStr">
        <is>
          <t>MFS1S00-HxxxV</t>
        </is>
      </c>
      <c r="B4" s="9" t="inlineStr">
        <is>
          <t>—</t>
        </is>
      </c>
      <c r="C4" s="9" t="inlineStr">
        <is>
          <t>active</t>
        </is>
      </c>
      <c r="D4" s="9" t="inlineStr">
        <is>
          <t>MFS1S00-H003V / MFS1S00-H005V / MFS1S00-H010V / MFS1S00-H015V / MFS1S00-H020V / MFS1S00-H030V / MFS1S00-H050V / MFS1S00-H100V</t>
        </is>
      </c>
      <c r="E4" s="9" t="inlineStr">
        <is>
          <t>980-9I457-00H003, 980-9I45D-00H005, 980-9I45J-00H010, 980-9I45O-00H015, 980-9I45T-00H020, 980-9I440-00H030, 980-9I447-00H050, 980-9I44H-00H100</t>
        </is>
      </c>
      <c r="F4" s="9" t="inlineStr">
        <is>
          <t>200G</t>
        </is>
      </c>
      <c r="G4" s="9" t="inlineStr">
        <is>
          <t>QSFP56</t>
        </is>
      </c>
      <c r="H4" s="9" t="inlineStr">
        <is>
          <t>1x 200Gb/s QSFP56 to QSFP56</t>
        </is>
      </c>
      <c r="I4" s="9" t="inlineStr">
        <is>
          <t>MM</t>
        </is>
      </c>
      <c r="J4" s="9" t="inlineStr">
        <is>
          <t>max 100 m</t>
        </is>
      </c>
      <c r="K4" s="9" t="inlineStr">
        <is>
          <t>IB/ETH</t>
        </is>
      </c>
      <c r="L4" s="9" t="inlineStr">
        <is>
          <t>MFS1S00-HxxxV 200Gb/s QSFP56 MMF AOC Product Specifications</t>
        </is>
      </c>
      <c r="M4" s="14" t="inlineStr">
        <is>
          <t>https://networking-docs.nvidia.com/mfs1s00hxxxv10</t>
        </is>
      </c>
    </row>
  </sheetData>
  <autoFilter ref="A1:M4"/>
  <hyperlinks>
    <hyperlink xmlns:r="http://schemas.openxmlformats.org/officeDocument/2006/relationships" ref="M2" display="https://networking-docs.nvidia.com/mfa7u10h00x10" r:id="rId1"/>
    <hyperlink xmlns:r="http://schemas.openxmlformats.org/officeDocument/2006/relationships" ref="M3" display="https://networking-docs.nvidia.com/mfa7u10h00x10" r:id="rId2"/>
    <hyperlink xmlns:r="http://schemas.openxmlformats.org/officeDocument/2006/relationships" ref="M4" display="https://networking-docs.nvidia.com/mfs1s00hxxxv10" r:id="rId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6" customWidth="1" style="9" min="2" max="2"/>
    <col width="10" customWidth="1" style="9" min="3" max="3"/>
    <col width="59" customWidth="1" style="9" min="4" max="4"/>
    <col width="60" customWidth="1" style="9" min="5" max="5"/>
    <col width="10" customWidth="1" style="9" min="6" max="6"/>
    <col width="32" customWidth="1" style="9" min="7" max="7"/>
    <col width="29" customWidth="1" style="9" min="8" max="8"/>
    <col width="10" customWidth="1" style="9" min="9" max="9"/>
    <col width="11" customWidth="1" style="9" min="10" max="10"/>
    <col width="12" customWidth="1" style="9" min="11" max="11"/>
    <col width="60" customWidth="1" style="9" min="12" max="12"/>
    <col width="59" customWidth="1" style="9" min="13" max="13"/>
  </cols>
  <sheetData>
    <row r="1" ht="15" customHeight="1" s="10">
      <c r="A1" s="13" t="inlineStr">
        <is>
          <t>Model</t>
        </is>
      </c>
      <c r="B1" s="13" t="inlineStr">
        <is>
          <t>Variant</t>
        </is>
      </c>
      <c r="C1" s="13" t="inlineStr">
        <is>
          <t>Status</t>
        </is>
      </c>
      <c r="D1" s="13" t="inlineStr">
        <is>
          <t>Legacy OPN</t>
        </is>
      </c>
      <c r="E1" s="13" t="inlineStr">
        <is>
          <t>NVIDIA OPN</t>
        </is>
      </c>
      <c r="F1" s="13" t="inlineStr">
        <is>
          <t>Speed</t>
        </is>
      </c>
      <c r="G1" s="13" t="inlineStr">
        <is>
          <t>Form factor</t>
        </is>
      </c>
      <c r="H1" s="13" t="inlineStr">
        <is>
          <t>Interfaces</t>
        </is>
      </c>
      <c r="I1" s="13" t="inlineStr">
        <is>
          <t>Medium</t>
        </is>
      </c>
      <c r="J1" s="13" t="inlineStr">
        <is>
          <t>Reach</t>
        </is>
      </c>
      <c r="K1" s="13" t="inlineStr">
        <is>
          <t>Fabric</t>
        </is>
      </c>
      <c r="L1" s="13" t="inlineStr">
        <is>
          <t>Description</t>
        </is>
      </c>
      <c r="M1" s="13" t="inlineStr">
        <is>
          <t>Link</t>
        </is>
      </c>
    </row>
    <row r="2" ht="15" customHeight="1" s="10">
      <c r="A2" s="9" t="inlineStr">
        <is>
          <t>MCA4K00</t>
        </is>
      </c>
      <c r="B2" s="9" t="inlineStr">
        <is>
          <t>RHS-to-RHS</t>
        </is>
      </c>
      <c r="C2" s="9" t="inlineStr">
        <is>
          <t>active</t>
        </is>
      </c>
      <c r="D2" s="9" t="inlineStr">
        <is>
          <t>MCA4K00</t>
        </is>
      </c>
      <c r="E2" s="9" t="inlineStr">
        <is>
          <t>980-9IAM1-00X001, 980-9IAM2-00X001, 980-9IAM4-00X001</t>
        </is>
      </c>
      <c r="F2" s="9" t="inlineStr">
        <is>
          <t>1600G</t>
        </is>
      </c>
      <c r="G2" s="9" t="inlineStr">
        <is>
          <t>OSFP-flattop -&gt; OSFP-flattop</t>
        </is>
      </c>
      <c r="H2" s="9" t="inlineStr">
        <is>
          <t>1x 1600Gb/s OSFP to OSFP</t>
        </is>
      </c>
      <c r="I2" s="9" t="inlineStr">
        <is>
          <t>Copper</t>
        </is>
      </c>
      <c r="J2" s="9" t="inlineStr">
        <is>
          <t>max 1.1 m</t>
        </is>
      </c>
      <c r="K2" s="9" t="inlineStr">
        <is>
          <t>IB/ETH/NVL</t>
        </is>
      </c>
      <c r="L2" s="9" t="inlineStr">
        <is>
          <t>MCA4K00 1600Gbps to 1600Gbps OSFP Active Copper Cable Product Specifications</t>
        </is>
      </c>
      <c r="M2" s="14" t="inlineStr">
        <is>
          <t>https://networking-docs.nvidia.com/mca4k00hw</t>
        </is>
      </c>
    </row>
    <row r="3" ht="15" customHeight="1" s="10">
      <c r="A3" s="9" t="inlineStr">
        <is>
          <t>MCA4K50</t>
        </is>
      </c>
      <c r="B3" s="9" t="inlineStr">
        <is>
          <t>IHS-to-IHS</t>
        </is>
      </c>
      <c r="C3" s="9" t="inlineStr">
        <is>
          <t>active</t>
        </is>
      </c>
      <c r="D3" s="9" t="inlineStr">
        <is>
          <t>MCA4K50</t>
        </is>
      </c>
      <c r="E3" s="9" t="inlineStr">
        <is>
          <t>980-9IAM5-00X001, 980-9IAM5-00X01A, 980-9IAM3-00X002, 980-9IAM3-00X02A, 980-9IAM3-00X003</t>
        </is>
      </c>
      <c r="F3" s="9" t="inlineStr">
        <is>
          <t>1600G</t>
        </is>
      </c>
      <c r="G3" s="9" t="inlineStr">
        <is>
          <t>OSFP-finned -&gt; OSFP-finned</t>
        </is>
      </c>
      <c r="H3" s="9" t="inlineStr">
        <is>
          <t>1x 1600Gb/s OSFP to OSFP</t>
        </is>
      </c>
      <c r="I3" s="9" t="inlineStr">
        <is>
          <t>Copper</t>
        </is>
      </c>
      <c r="J3" s="9" t="inlineStr">
        <is>
          <t>max 3 m</t>
        </is>
      </c>
      <c r="K3" s="9" t="inlineStr">
        <is>
          <t>IB</t>
        </is>
      </c>
      <c r="L3" s="9" t="inlineStr">
        <is>
          <t>MCA4K50 1600Gbps to 1600Gbps OSFP Active Copper Cable</t>
        </is>
      </c>
      <c r="M3" s="14" t="inlineStr">
        <is>
          <t>https://networking-docs.nvidia.com/mca4k50osfp1600</t>
        </is>
      </c>
    </row>
    <row r="4" ht="15" customHeight="1" s="10">
      <c r="A4" s="9" t="inlineStr">
        <is>
          <t>MCA7K10</t>
        </is>
      </c>
      <c r="B4" s="9" t="inlineStr">
        <is>
          <t>IHS-to-2xRHS</t>
        </is>
      </c>
      <c r="C4" s="9" t="inlineStr">
        <is>
          <t>active</t>
        </is>
      </c>
      <c r="D4" s="9" t="inlineStr">
        <is>
          <t>MCA7K10</t>
        </is>
      </c>
      <c r="E4" s="9" t="inlineStr">
        <is>
          <t>980-9IAO5-00X001, 980-9IAO5-00X01A, 980-9IAO5-00X002</t>
        </is>
      </c>
      <c r="F4" s="9" t="inlineStr">
        <is>
          <t>1600G</t>
        </is>
      </c>
      <c r="G4" s="9" t="inlineStr">
        <is>
          <t>OSFP-finned -&gt; 2xOSFP-flattop</t>
        </is>
      </c>
      <c r="H4" s="9" t="inlineStr">
        <is>
          <t>2x 2x800Gb/s OSFP to 2xOSFP</t>
        </is>
      </c>
      <c r="I4" s="9" t="inlineStr">
        <is>
          <t>Copper</t>
        </is>
      </c>
      <c r="J4" s="9" t="inlineStr">
        <is>
          <t>max 2 m</t>
        </is>
      </c>
      <c r="K4" s="9" t="inlineStr">
        <is>
          <t>IB/ETH</t>
        </is>
      </c>
      <c r="L4" s="9" t="inlineStr">
        <is>
          <t>MCA7K10 1600Gb/s to 2x800Gb/s, OSFP to 2xOSFP, IHS to RHS Active Copper Splitter Cable</t>
        </is>
      </c>
      <c r="M4" s="14" t="inlineStr">
        <is>
          <t>https://networking-docs.nvidia.com/9809iao500xxxxrhs2x800</t>
        </is>
      </c>
    </row>
    <row r="5" ht="15" customHeight="1" s="10">
      <c r="A5" s="9" t="inlineStr">
        <is>
          <t>MCA4J80-Nxxx</t>
        </is>
      </c>
      <c r="B5" s="9" t="inlineStr">
        <is>
          <t>finned</t>
        </is>
      </c>
      <c r="C5" s="9" t="inlineStr">
        <is>
          <t>active</t>
        </is>
      </c>
      <c r="D5" s="9" t="inlineStr">
        <is>
          <t>MCA4J80-N003 / MCA4J80-N004 / MCA4J80-N005</t>
        </is>
      </c>
      <c r="E5" s="9" t="inlineStr">
        <is>
          <t>980-9I60Z-00N003, 980-9I601-00N004, 980-9I602-00N005</t>
        </is>
      </c>
      <c r="F5" s="9" t="inlineStr">
        <is>
          <t>800G</t>
        </is>
      </c>
      <c r="G5" s="9" t="inlineStr">
        <is>
          <t>OSFP-finned -&gt; OSFP-finned</t>
        </is>
      </c>
      <c r="H5" s="9" t="inlineStr">
        <is>
          <t>2x 2x400Gb/s OSFP to OSFP</t>
        </is>
      </c>
      <c r="I5" s="9" t="inlineStr">
        <is>
          <t>Copper</t>
        </is>
      </c>
      <c r="J5" s="9" t="inlineStr">
        <is>
          <t>max 5 m</t>
        </is>
      </c>
      <c r="K5" s="9" t="inlineStr">
        <is>
          <t>IB</t>
        </is>
      </c>
      <c r="L5" s="9" t="inlineStr">
        <is>
          <t>MCA4J80-Nxxx 800Gb/s Twin-port OSFP to 2x400Gb/s OSFP InfiniBand ACC Product Specifications</t>
        </is>
      </c>
      <c r="M5" s="14" t="inlineStr">
        <is>
          <t>https://networking-docs.nvidia.com/mca4j80nxxx800pub</t>
        </is>
      </c>
    </row>
    <row r="6" ht="15" customHeight="1" s="10">
      <c r="A6" s="9" t="inlineStr">
        <is>
          <t>MCA4J80-Nxxx-FLT</t>
        </is>
      </c>
      <c r="B6" s="9" t="inlineStr">
        <is>
          <t>flat-top</t>
        </is>
      </c>
      <c r="C6" s="9" t="inlineStr">
        <is>
          <t>active</t>
        </is>
      </c>
      <c r="D6" s="9" t="inlineStr">
        <is>
          <t>MCA4J80-N003-FLT</t>
        </is>
      </c>
      <c r="E6" s="9" t="inlineStr">
        <is>
          <t>980-9I600-00N003</t>
        </is>
      </c>
      <c r="F6" s="9" t="inlineStr">
        <is>
          <t>800G</t>
        </is>
      </c>
      <c r="G6" s="9" t="inlineStr">
        <is>
          <t>OSFP-flattop -&gt; OSFP-flattop</t>
        </is>
      </c>
      <c r="H6" s="9" t="inlineStr">
        <is>
          <t>2x 2x400Gb/s OSFP to OSFP</t>
        </is>
      </c>
      <c r="I6" s="9" t="inlineStr">
        <is>
          <t>Copper</t>
        </is>
      </c>
      <c r="J6" s="9" t="inlineStr">
        <is>
          <t>max 3 m</t>
        </is>
      </c>
      <c r="K6" s="9" t="inlineStr">
        <is>
          <t>IB</t>
        </is>
      </c>
      <c r="L6" s="9" t="inlineStr">
        <is>
          <t>MCA4J80-Nxxx 800Gbps Twin-port 2x400Gbps OSFP to 2x400Gbps OSFP InfiniBand LACC</t>
        </is>
      </c>
      <c r="M6" s="14" t="inlineStr">
        <is>
          <t>https://networking-docs.nvidia.com/mca4j80nxxx800pub</t>
        </is>
      </c>
    </row>
    <row r="7" ht="15" customHeight="1" s="10">
      <c r="A7" s="9" t="inlineStr">
        <is>
          <t>MCA4J80-Nxxx-FTF</t>
        </is>
      </c>
      <c r="B7" s="9" t="inlineStr">
        <is>
          <t>flat-to-finned</t>
        </is>
      </c>
      <c r="C7" s="9" t="inlineStr">
        <is>
          <t>active</t>
        </is>
      </c>
      <c r="D7" s="9" t="inlineStr">
        <is>
          <t>MCA4J80-N003-FTF</t>
        </is>
      </c>
      <c r="E7" s="9" t="inlineStr">
        <is>
          <t>980-9I601-00N003</t>
        </is>
      </c>
      <c r="F7" s="9" t="inlineStr">
        <is>
          <t>800G</t>
        </is>
      </c>
      <c r="G7" s="9" t="inlineStr">
        <is>
          <t>OSFP-flattop -&gt; OSFP-finned</t>
        </is>
      </c>
      <c r="H7" s="9" t="inlineStr">
        <is>
          <t>2x 2x400Gb/s OSFP to OSFP</t>
        </is>
      </c>
      <c r="I7" s="9" t="inlineStr">
        <is>
          <t>Copper</t>
        </is>
      </c>
      <c r="J7" s="9" t="inlineStr">
        <is>
          <t>max 3 m</t>
        </is>
      </c>
      <c r="K7" s="9" t="inlineStr">
        <is>
          <t>IB</t>
        </is>
      </c>
      <c r="L7" s="9" t="inlineStr">
        <is>
          <t>MCA4J80-Nxxx 800Gbps Twin-port 2x400Gbps OSFP to 2x400Gbps OSFP InfiniBand LACC</t>
        </is>
      </c>
      <c r="M7" s="14" t="inlineStr">
        <is>
          <t>https://networking-docs.nvidia.com/mca4j80nxxx800pub</t>
        </is>
      </c>
    </row>
    <row r="8" ht="15" customHeight="1" s="10">
      <c r="A8" s="9" t="inlineStr">
        <is>
          <t>MCP4Y10-Nxxx</t>
        </is>
      </c>
      <c r="B8" s="9" t="inlineStr">
        <is>
          <t>finned</t>
        </is>
      </c>
      <c r="C8" s="9" t="inlineStr">
        <is>
          <t>active</t>
        </is>
      </c>
      <c r="D8" s="9" t="inlineStr">
        <is>
          <t>MCP4Y10-N00A / MCP4Y10-N001 / MCP4Y10-N01A / MCP4Y10-N002</t>
        </is>
      </c>
      <c r="E8" s="9" t="inlineStr">
        <is>
          <t>980-9IA0K-00N00A, 980-9IA0F-00N001, 980-9IA0Q-00N01A, 980-9IA0I-00N002</t>
        </is>
      </c>
      <c r="F8" s="9" t="inlineStr">
        <is>
          <t>800G</t>
        </is>
      </c>
      <c r="G8" s="9" t="inlineStr">
        <is>
          <t>OSFP-finned -&gt; OSFP-finned</t>
        </is>
      </c>
      <c r="H8" s="9" t="inlineStr">
        <is>
          <t>2x 2x400Gb/s OSFP to OSFP</t>
        </is>
      </c>
      <c r="I8" s="9" t="inlineStr">
        <is>
          <t>Copper</t>
        </is>
      </c>
      <c r="J8" s="9" t="inlineStr">
        <is>
          <t>max 2 m</t>
        </is>
      </c>
      <c r="K8" s="9" t="inlineStr">
        <is>
          <t>IB/ETH</t>
        </is>
      </c>
      <c r="L8" s="9" t="inlineStr">
        <is>
          <t>MCP4Y10-Nxxx Twin-port 2x400Gb/s OSFP to 2x400Gb/s OSFP Passive DAC Product Specifications</t>
        </is>
      </c>
      <c r="M8" s="14" t="inlineStr">
        <is>
          <t>https://networking-docs.nvidia.com/mcp4y10nxxx2x400pub</t>
        </is>
      </c>
    </row>
    <row r="9" ht="15" customHeight="1" s="10">
      <c r="A9" s="9" t="inlineStr">
        <is>
          <t>MCP4Y10-Nxxx-FLT</t>
        </is>
      </c>
      <c r="B9" s="9" t="inlineStr">
        <is>
          <t>flat-top</t>
        </is>
      </c>
      <c r="C9" s="9" t="inlineStr">
        <is>
          <t>active</t>
        </is>
      </c>
      <c r="D9" s="9" t="inlineStr">
        <is>
          <t>MCP4Y10-N00A-FLT / MCP4Y10-N001-FLT / MCP4Y10-N002-FLT</t>
        </is>
      </c>
      <c r="E9" s="9" t="inlineStr">
        <is>
          <t>980-9IA0L-00N00A, 980-9IA0G-00N001, 980-9IA0J-00N002</t>
        </is>
      </c>
      <c r="F9" s="9" t="inlineStr">
        <is>
          <t>800G</t>
        </is>
      </c>
      <c r="G9" s="9" t="inlineStr">
        <is>
          <t>OSFP-flattop -&gt; OSFP-flattop</t>
        </is>
      </c>
      <c r="H9" s="9" t="inlineStr">
        <is>
          <t>2x 2x400Gb/s OSFP to OSFP</t>
        </is>
      </c>
      <c r="I9" s="9" t="inlineStr">
        <is>
          <t>Copper</t>
        </is>
      </c>
      <c r="J9" s="9" t="inlineStr">
        <is>
          <t>max 2 m</t>
        </is>
      </c>
      <c r="K9" s="9" t="inlineStr">
        <is>
          <t>IB/ETH</t>
        </is>
      </c>
      <c r="L9" s="9" t="inlineStr">
        <is>
          <t>MCP4Y10-Nxxx Twin-port 2x400Gb/s OSFP to 2x400Gb/s OSFP Passive DAC Product Specifications</t>
        </is>
      </c>
      <c r="M9" s="14" t="inlineStr">
        <is>
          <t>https://networking-docs.nvidia.com/mcp4y10nxxx2x400pub</t>
        </is>
      </c>
    </row>
    <row r="10" ht="15" customHeight="1" s="10">
      <c r="A10" s="9" t="inlineStr">
        <is>
          <t>MCP7Y00-Nxxx</t>
        </is>
      </c>
      <c r="B10" s="9" t="inlineStr">
        <is>
          <t>finned head</t>
        </is>
      </c>
      <c r="C10" s="9" t="inlineStr">
        <is>
          <t>active</t>
        </is>
      </c>
      <c r="D10" s="9" t="inlineStr">
        <is>
          <t>—</t>
        </is>
      </c>
      <c r="E10" s="9" t="inlineStr">
        <is>
          <t>MCP7Y00-N001, MCP7Y00-N01A, MCP7Y00-N002, MCP7Y00-N02A, MCP7Y00-N003</t>
        </is>
      </c>
      <c r="F10" s="9" t="inlineStr">
        <is>
          <t>800G</t>
        </is>
      </c>
      <c r="G10" s="9" t="inlineStr">
        <is>
          <t>OSFP-finned -&gt; 2xOSFP-flattop</t>
        </is>
      </c>
      <c r="H10" s="9" t="inlineStr">
        <is>
          <t>2x 2x400Gb/s OSFP to 2xOSFP</t>
        </is>
      </c>
      <c r="I10" s="9" t="inlineStr">
        <is>
          <t>Copper</t>
        </is>
      </c>
      <c r="J10" s="9" t="inlineStr">
        <is>
          <t>max 3 m</t>
        </is>
      </c>
      <c r="K10" s="9" t="inlineStr">
        <is>
          <t>IB/ETH</t>
        </is>
      </c>
      <c r="L10" s="9" t="inlineStr">
        <is>
          <t>MCP7Y00-Nxxx 800Gb/s Twin-port 2x400G OSFP to 2x400G OSFP Passive DAC Splitter Product Specifications</t>
        </is>
      </c>
      <c r="M10" s="14" t="inlineStr">
        <is>
          <t>https://networking-docs.nvidia.com/mcp7y00nxxx800pub</t>
        </is>
      </c>
    </row>
    <row r="11" ht="15" customHeight="1" s="10">
      <c r="A11" s="9" t="inlineStr">
        <is>
          <t>MCP7Y00-Nxxx-FLT</t>
        </is>
      </c>
      <c r="B11" s="9" t="inlineStr">
        <is>
          <t>flat-top head</t>
        </is>
      </c>
      <c r="C11" s="9" t="inlineStr">
        <is>
          <t>active</t>
        </is>
      </c>
      <c r="D11" s="9" t="inlineStr">
        <is>
          <t>—</t>
        </is>
      </c>
      <c r="E11" s="9" t="inlineStr">
        <is>
          <t>MCP7Y00-N001-FLT1, MCP7Y00-N01A-FLT, MCP7Y00-N002-FLT</t>
        </is>
      </c>
      <c r="F11" s="9" t="inlineStr">
        <is>
          <t>800G</t>
        </is>
      </c>
      <c r="G11" s="9" t="inlineStr">
        <is>
          <t>OSFP-flattop -&gt; 2xOSFP-flattop</t>
        </is>
      </c>
      <c r="H11" s="9" t="inlineStr">
        <is>
          <t>2x 2x400Gb/s OSFP to 2xOSFP</t>
        </is>
      </c>
      <c r="I11" s="9" t="inlineStr">
        <is>
          <t>Copper</t>
        </is>
      </c>
      <c r="J11" s="9" t="inlineStr">
        <is>
          <t>max 2 m</t>
        </is>
      </c>
      <c r="K11" s="9" t="inlineStr">
        <is>
          <t>IB/ETH</t>
        </is>
      </c>
      <c r="L11" s="9" t="inlineStr">
        <is>
          <t>MCP7Y00-Nxxx 800Gbps Twin-port 2x400G OSFP to 2x400G OSFP Passive DAC Splitter</t>
        </is>
      </c>
      <c r="M11" s="14" t="inlineStr">
        <is>
          <t>https://networking-docs.nvidia.com/mcp7y00nxxx800pub</t>
        </is>
      </c>
    </row>
    <row r="12" ht="15" customHeight="1" s="10">
      <c r="A12" s="9" t="inlineStr">
        <is>
          <t>MCP1600-E0xxEyy</t>
        </is>
      </c>
      <c r="B12" s="9" t="inlineStr">
        <is>
          <t>—</t>
        </is>
      </c>
      <c r="C12" s="9" t="inlineStr">
        <is>
          <t>active</t>
        </is>
      </c>
      <c r="D12" s="9" t="inlineStr">
        <is>
          <t>—</t>
        </is>
      </c>
      <c r="E12" s="9" t="inlineStr">
        <is>
          <t>MCP1600-E00AE30, MCP1600-E001E30, MCP1600-E01AE30, MCP1600-E002E30, MCP1600-E02AE26, MCP1600-E003E26, MCP1600-E004E26, MCP1600-E005E26</t>
        </is>
      </c>
      <c r="F12" s="9" t="inlineStr">
        <is>
          <t>100G</t>
        </is>
      </c>
      <c r="G12" s="9" t="inlineStr">
        <is>
          <t>QSFP28</t>
        </is>
      </c>
      <c r="H12" s="9" t="inlineStr">
        <is>
          <t>1x 100Gb/s QSFP28 to QSFP28</t>
        </is>
      </c>
      <c r="I12" s="9" t="inlineStr">
        <is>
          <t>Copper</t>
        </is>
      </c>
      <c r="J12" s="9" t="inlineStr">
        <is>
          <t>max 5 m</t>
        </is>
      </c>
      <c r="K12" s="9" t="inlineStr">
        <is>
          <t>IB</t>
        </is>
      </c>
      <c r="L12" s="9" t="inlineStr">
        <is>
          <t>MCP1600-E0xxEyy 100Gb/s QSFP28 DAC Cable Product Specifications</t>
        </is>
      </c>
      <c r="M12" s="14" t="inlineStr">
        <is>
          <t>https://networking-docs.nvidia.com/mcp1600e0xxxeyyspec</t>
        </is>
      </c>
    </row>
  </sheetData>
  <autoFilter ref="A1:M12"/>
  <hyperlinks>
    <hyperlink xmlns:r="http://schemas.openxmlformats.org/officeDocument/2006/relationships" ref="M2" display="https://networking-docs.nvidia.com/mca4k00hw" r:id="rId1"/>
    <hyperlink xmlns:r="http://schemas.openxmlformats.org/officeDocument/2006/relationships" ref="M3" display="https://networking-docs.nvidia.com/mca4k50osfp1600" r:id="rId2"/>
    <hyperlink xmlns:r="http://schemas.openxmlformats.org/officeDocument/2006/relationships" ref="M4" display="https://networking-docs.nvidia.com/9809iao500xxxxrhs2x800" r:id="rId3"/>
    <hyperlink xmlns:r="http://schemas.openxmlformats.org/officeDocument/2006/relationships" ref="M5" display="https://networking-docs.nvidia.com/mca4j80nxxx800pub" r:id="rId4"/>
    <hyperlink xmlns:r="http://schemas.openxmlformats.org/officeDocument/2006/relationships" ref="M6" display="https://networking-docs.nvidia.com/mca4j80nxxx800pub" r:id="rId5"/>
    <hyperlink xmlns:r="http://schemas.openxmlformats.org/officeDocument/2006/relationships" ref="M7" display="https://networking-docs.nvidia.com/mca4j80nxxx800pub" r:id="rId6"/>
    <hyperlink xmlns:r="http://schemas.openxmlformats.org/officeDocument/2006/relationships" ref="M8" display="https://networking-docs.nvidia.com/mcp4y10nxxx2x400pub" r:id="rId7"/>
    <hyperlink xmlns:r="http://schemas.openxmlformats.org/officeDocument/2006/relationships" ref="M9" display="https://networking-docs.nvidia.com/mcp4y10nxxx2x400pub" r:id="rId8"/>
    <hyperlink xmlns:r="http://schemas.openxmlformats.org/officeDocument/2006/relationships" ref="M10" display="https://networking-docs.nvidia.com/mcp7y00nxxx800pub" r:id="rId9"/>
    <hyperlink xmlns:r="http://schemas.openxmlformats.org/officeDocument/2006/relationships" ref="M11" display="https://networking-docs.nvidia.com/mcp7y00nxxx800pub" r:id="rId10"/>
    <hyperlink xmlns:r="http://schemas.openxmlformats.org/officeDocument/2006/relationships" ref="M12" display="https://networking-docs.nvidia.com/mcp1600e0xxxeyyspec" r:id="rId1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16" customWidth="1" style="9" min="2" max="2"/>
    <col width="10" customWidth="1" style="9" min="3" max="3"/>
    <col width="60" customWidth="1" style="9" min="4" max="5"/>
    <col width="13" customWidth="1" style="9" min="6" max="6"/>
    <col width="60" customWidth="1" style="9" min="7" max="7"/>
    <col width="58" customWidth="1" style="9" min="8" max="8"/>
  </cols>
  <sheetData>
    <row r="1" ht="15" customHeight="1" s="10">
      <c r="A1" s="13" t="inlineStr">
        <is>
          <t>Category</t>
        </is>
      </c>
      <c r="B1" s="13" t="inlineStr">
        <is>
          <t>Model</t>
        </is>
      </c>
      <c r="C1" s="13" t="inlineStr">
        <is>
          <t>Status</t>
        </is>
      </c>
      <c r="D1" s="13" t="inlineStr">
        <is>
          <t>Legacy OPN</t>
        </is>
      </c>
      <c r="E1" s="13" t="inlineStr">
        <is>
          <t>NVIDIA OPN</t>
        </is>
      </c>
      <c r="F1" s="13" t="inlineStr">
        <is>
          <t>Speed</t>
        </is>
      </c>
      <c r="G1" s="13" t="inlineStr">
        <is>
          <t>Description</t>
        </is>
      </c>
      <c r="H1" s="13" t="inlineStr">
        <is>
          <t>Link</t>
        </is>
      </c>
    </row>
    <row r="2" ht="15" customHeight="1" s="10">
      <c r="A2" s="9" t="inlineStr">
        <is>
          <t>Transceiver</t>
        </is>
      </c>
      <c r="B2" s="9" t="inlineStr">
        <is>
          <t>MMS4C1X</t>
        </is>
      </c>
      <c r="C2" s="9" t="inlineStr">
        <is>
          <t>active</t>
        </is>
      </c>
      <c r="D2" s="9" t="inlineStr">
        <is>
          <t>—</t>
        </is>
      </c>
      <c r="E2" s="9" t="inlineStr">
        <is>
          <t>980-9IAU0-00XM00, 980-9IAU0-00XM01, 980-9IAU1-00XM00, 980-9IAU1-00XM01</t>
        </is>
      </c>
      <c r="F2" s="9" t="inlineStr">
        <is>
          <t>1600G</t>
        </is>
      </c>
      <c r="G2" s="9" t="inlineStr">
        <is>
          <t>NVIDIA MMS4C1X FRO 1600Gbps, 2xDR4, Twin-port OSFP, 2xMPO (APC), 1310nm Single Mode Transceiver (up to 500m)</t>
        </is>
      </c>
      <c r="H2" s="14" t="inlineStr">
        <is>
          <t>https://networking-docs.nvidia.com/9iau000xmosfptcvr1600</t>
        </is>
      </c>
    </row>
    <row r="3" ht="15" customHeight="1" s="10">
      <c r="A3" s="9" t="inlineStr">
        <is>
          <t>Adapter</t>
        </is>
      </c>
      <c r="B3" s="9" t="inlineStr">
        <is>
          <t>MAM1Q00A-QSA</t>
        </is>
      </c>
      <c r="C3" s="9" t="inlineStr">
        <is>
          <t>active</t>
        </is>
      </c>
      <c r="D3" s="9" t="inlineStr">
        <is>
          <t>—</t>
        </is>
      </c>
      <c r="E3" s="9" t="inlineStr">
        <is>
          <t>—</t>
        </is>
      </c>
      <c r="F3" s="9" t="inlineStr">
        <is>
          <t>Accessories</t>
        </is>
      </c>
      <c r="G3" s="9" t="inlineStr">
        <is>
          <t>MAM1Q00A-QSA NVIDIA DynamiX QSA™, QSFP+ to SFP+ Adapter Product Specifications</t>
        </is>
      </c>
      <c r="H3" s="14" t="inlineStr">
        <is>
          <t>https://networking-docs.nvidia.com/mam1q00aqsadnmx</t>
        </is>
      </c>
    </row>
    <row r="4" ht="15" customHeight="1" s="10">
      <c r="A4" s="9" t="inlineStr">
        <is>
          <t>Adapter</t>
        </is>
      </c>
      <c r="B4" s="9" t="inlineStr">
        <is>
          <t>MAM1Q00A-QSA28</t>
        </is>
      </c>
      <c r="C4" s="9" t="inlineStr">
        <is>
          <t>active</t>
        </is>
      </c>
      <c r="D4" s="9" t="inlineStr">
        <is>
          <t>—</t>
        </is>
      </c>
      <c r="E4" s="9" t="inlineStr">
        <is>
          <t>—</t>
        </is>
      </c>
      <c r="F4" s="9" t="inlineStr">
        <is>
          <t>Accessories</t>
        </is>
      </c>
      <c r="G4" s="9" t="inlineStr">
        <is>
          <t>MAM1Q00A-QSA28 NVIDIA DynamiX QSA™ QSA28, QSFP28 to SFP28 Adapter Product Specifications</t>
        </is>
      </c>
      <c r="H4" s="14" t="inlineStr">
        <is>
          <t>https://networking-docs.nvidia.com/mam1q00aqsa28dnmx</t>
        </is>
      </c>
    </row>
    <row r="5" ht="15" customHeight="1" s="10">
      <c r="A5" s="9" t="inlineStr">
        <is>
          <t>Fiber</t>
        </is>
      </c>
      <c r="B5" s="9" t="inlineStr">
        <is>
          <t>MFP7E10-Nxxx</t>
        </is>
      </c>
      <c r="C5" s="9" t="inlineStr">
        <is>
          <t>active</t>
        </is>
      </c>
      <c r="D5" s="9" t="inlineStr">
        <is>
          <t>—</t>
        </is>
      </c>
      <c r="E5" s="9" t="inlineStr">
        <is>
          <t>—</t>
        </is>
      </c>
      <c r="F5" s="9" t="inlineStr">
        <is>
          <t>Accessories</t>
        </is>
      </c>
      <c r="G5" s="9" t="inlineStr">
        <is>
          <t>MFP7E10-Nxxx Optical Multimode Fiber Cable Product Specifications</t>
        </is>
      </c>
      <c r="H5" s="14" t="inlineStr">
        <is>
          <t>https://networking-docs.nvidia.com/mfp7e10nxxx</t>
        </is>
      </c>
    </row>
    <row r="6" ht="15" customHeight="1" s="10">
      <c r="A6" s="9" t="inlineStr">
        <is>
          <t>Fiber</t>
        </is>
      </c>
      <c r="B6" s="9" t="inlineStr">
        <is>
          <t>MFP7E20-Nxxx</t>
        </is>
      </c>
      <c r="C6" s="9" t="inlineStr">
        <is>
          <t>active</t>
        </is>
      </c>
      <c r="D6" s="9" t="inlineStr">
        <is>
          <t>—</t>
        </is>
      </c>
      <c r="E6" s="9" t="inlineStr">
        <is>
          <t>—</t>
        </is>
      </c>
      <c r="F6" s="9" t="inlineStr">
        <is>
          <t>Accessories</t>
        </is>
      </c>
      <c r="G6" s="9" t="inlineStr">
        <is>
          <t>MFP7E20-Nxxx Optical Multimode Splitter Fiber Cable Product Specifications</t>
        </is>
      </c>
      <c r="H6" s="14" t="inlineStr">
        <is>
          <t>https://networking-docs.nvidia.com/mfp7e20nxxx</t>
        </is>
      </c>
    </row>
    <row r="7" ht="15" customHeight="1" s="10">
      <c r="A7" s="9" t="inlineStr">
        <is>
          <t>Fiber</t>
        </is>
      </c>
      <c r="B7" s="9" t="inlineStr">
        <is>
          <t>MFP7E30-Nxxx</t>
        </is>
      </c>
      <c r="C7" s="9" t="inlineStr">
        <is>
          <t>active</t>
        </is>
      </c>
      <c r="D7" s="9" t="inlineStr">
        <is>
          <t>—</t>
        </is>
      </c>
      <c r="E7" s="9" t="inlineStr">
        <is>
          <t>—</t>
        </is>
      </c>
      <c r="F7" s="9" t="inlineStr">
        <is>
          <t>Accessories</t>
        </is>
      </c>
      <c r="G7" s="9" t="inlineStr">
        <is>
          <t>MFP7E30-Nxxx MPO-to-MPO Single-mode Fiber Cable Product Specifications</t>
        </is>
      </c>
      <c r="H7" s="14" t="inlineStr">
        <is>
          <t>https://networking-docs.nvidia.com/mfp7e30nxxxpub</t>
        </is>
      </c>
    </row>
    <row r="8" ht="15" customHeight="1" s="10">
      <c r="A8" s="9" t="inlineStr">
        <is>
          <t>Fiber</t>
        </is>
      </c>
      <c r="B8" s="9" t="inlineStr">
        <is>
          <t>MFP7E40-Nxxx</t>
        </is>
      </c>
      <c r="C8" s="9" t="inlineStr">
        <is>
          <t>active</t>
        </is>
      </c>
      <c r="D8" s="9" t="inlineStr">
        <is>
          <t>MFP7E40-N003 / MFP7E40-N005 / MFP7E40-N007 / MFP7E40-N010 / MFP7E40-N015 / MFP7E40-N020 / MFP7E40-N030 / MFP7E40-N050</t>
        </is>
      </c>
      <c r="E8" s="9" t="inlineStr">
        <is>
          <t>980-9I58K-00N003, 980-9I58L-00N005, 980-9I58M-00N007, 980-9I58N-00N010, 980-9I56O-00N015, 980-9I56P-00N020, 980-9I56Q-00N030, 980-9I56R-000050</t>
        </is>
      </c>
      <c r="F8" s="9" t="inlineStr">
        <is>
          <t>Accessories</t>
        </is>
      </c>
      <c r="G8" s="9" t="inlineStr">
        <is>
          <t>MFP7E40-Nxxx Single mode 1:2 Fiber Splitter Cable Product Specifications</t>
        </is>
      </c>
      <c r="H8" s="14" t="inlineStr">
        <is>
          <t>https://networking-docs.nvidia.com/mfp7e40nxxxpub</t>
        </is>
      </c>
    </row>
  </sheetData>
  <autoFilter ref="A1:H8"/>
  <hyperlinks>
    <hyperlink xmlns:r="http://schemas.openxmlformats.org/officeDocument/2006/relationships" ref="H2" display="https://networking-docs.nvidia.com/9iau000xmosfptcvr1600" r:id="rId1"/>
    <hyperlink xmlns:r="http://schemas.openxmlformats.org/officeDocument/2006/relationships" ref="H3" display="https://networking-docs.nvidia.com/mam1q00aqsadnmx" r:id="rId2"/>
    <hyperlink xmlns:r="http://schemas.openxmlformats.org/officeDocument/2006/relationships" ref="H4" display="https://networking-docs.nvidia.com/mam1q00aqsa28dnmx" r:id="rId3"/>
    <hyperlink xmlns:r="http://schemas.openxmlformats.org/officeDocument/2006/relationships" ref="H5" display="https://networking-docs.nvidia.com/mfp7e10nxxx" r:id="rId4"/>
    <hyperlink xmlns:r="http://schemas.openxmlformats.org/officeDocument/2006/relationships" ref="H6" display="https://networking-docs.nvidia.com/mfp7e20nxxx" r:id="rId5"/>
    <hyperlink xmlns:r="http://schemas.openxmlformats.org/officeDocument/2006/relationships" ref="H7" display="https://networking-docs.nvidia.com/mfp7e30nxxxpub" r:id="rId6"/>
    <hyperlink xmlns:r="http://schemas.openxmlformats.org/officeDocument/2006/relationships" ref="H8" display="https://networking-docs.nvidia.com/mfp7e40nxxxpub" r:id="rId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9" min="1" max="1"/>
    <col width="19" customWidth="1" style="9" min="2" max="2"/>
    <col width="13" customWidth="1" style="9" min="3" max="3"/>
    <col width="31" customWidth="1" style="9" min="4" max="4"/>
    <col width="40" customWidth="1" style="9" min="5" max="5"/>
    <col width="10" customWidth="1" style="9" min="6" max="6"/>
    <col width="46" customWidth="1" style="9" min="7" max="7"/>
    <col width="60" customWidth="1" style="9" min="8" max="8"/>
    <col width="45" customWidth="1" style="9" min="9" max="9"/>
  </cols>
  <sheetData>
    <row r="1" ht="15" customHeight="1" s="10">
      <c r="A1" s="13" t="inlineStr">
        <is>
          <t>Model</t>
        </is>
      </c>
      <c r="B1" s="13" t="inlineStr">
        <is>
          <t>Family</t>
        </is>
      </c>
      <c r="C1" s="13" t="inlineStr">
        <is>
          <t>Status</t>
        </is>
      </c>
      <c r="D1" s="13" t="inlineStr">
        <is>
          <t>Legacy OPN</t>
        </is>
      </c>
      <c r="E1" s="13" t="inlineStr">
        <is>
          <t>NVIDIA OPN</t>
        </is>
      </c>
      <c r="F1" s="13" t="inlineStr">
        <is>
          <t>Speed</t>
        </is>
      </c>
      <c r="G1" s="13" t="inlineStr">
        <is>
          <t>Cages / interfaces</t>
        </is>
      </c>
      <c r="H1" s="13" t="inlineStr">
        <is>
          <t>Description</t>
        </is>
      </c>
      <c r="I1" s="13" t="inlineStr">
        <is>
          <t>Link</t>
        </is>
      </c>
    </row>
    <row r="2" ht="15" customHeight="1" s="10">
      <c r="A2" s="9" t="inlineStr">
        <is>
          <t>SN6810-LD</t>
        </is>
      </c>
      <c r="B2" s="9" t="inlineStr">
        <is>
          <t>Spectrum-6 SN6000</t>
        </is>
      </c>
      <c r="C2" s="9" t="inlineStr">
        <is>
          <t>documented</t>
        </is>
      </c>
      <c r="D2" s="9" t="inlineStr">
        <is>
          <t>—</t>
        </is>
      </c>
      <c r="E2" s="9" t="inlineStr">
        <is>
          <t>920-9N64K-00LI-GC0</t>
        </is>
      </c>
      <c r="F2" s="9" t="inlineStr">
        <is>
          <t>800GbE</t>
        </is>
      </c>
      <c r="G2" s="9" t="inlineStr">
        <is>
          <t>128x MMC-12 800GbE fixed</t>
        </is>
      </c>
      <c r="H2" s="9" t="inlineStr">
        <is>
          <t>Spectrum-6 SN6000 2U 800GbE Ethernet switch: 128x MMC-12 (co-packaged optics)</t>
        </is>
      </c>
      <c r="I2" s="14" t="inlineStr">
        <is>
          <t>https://networking-docs.nvidia.com/sn6000hw</t>
        </is>
      </c>
    </row>
    <row r="3" ht="15" customHeight="1" s="10">
      <c r="A3" s="9" t="inlineStr">
        <is>
          <t>SN6800-LD</t>
        </is>
      </c>
      <c r="B3" s="9" t="inlineStr">
        <is>
          <t>Spectrum-6 SN6000</t>
        </is>
      </c>
      <c r="C3" s="9" t="inlineStr">
        <is>
          <t>documented</t>
        </is>
      </c>
      <c r="D3" s="9" t="inlineStr">
        <is>
          <t>—</t>
        </is>
      </c>
      <c r="E3" s="9" t="inlineStr">
        <is>
          <t>920-9N67K-00LA-GC0</t>
        </is>
      </c>
      <c r="F3" s="9" t="inlineStr">
        <is>
          <t>200GbE</t>
        </is>
      </c>
      <c r="G3" s="9" t="inlineStr">
        <is>
          <t>512x MMC-12 200GbE fixed</t>
        </is>
      </c>
      <c r="H3" s="9" t="inlineStr">
        <is>
          <t>Spectrum-6 SN6000 5U 200GbE Ethernet switch: 512x MMC-12 (co-packaged optics)</t>
        </is>
      </c>
      <c r="I3" s="14" t="inlineStr">
        <is>
          <t>https://networking-docs.nvidia.com/sn6000hw</t>
        </is>
      </c>
    </row>
    <row r="4" ht="15" customHeight="1" s="10">
      <c r="A4" s="9" t="inlineStr">
        <is>
          <t>SN6600-LD</t>
        </is>
      </c>
      <c r="B4" s="9" t="inlineStr">
        <is>
          <t>Spectrum-6 SN6000</t>
        </is>
      </c>
      <c r="C4" s="9" t="inlineStr">
        <is>
          <t>documented</t>
        </is>
      </c>
      <c r="D4" s="9" t="inlineStr">
        <is>
          <t>—</t>
        </is>
      </c>
      <c r="E4" s="9" t="inlineStr">
        <is>
          <t>920-9N62F-00LI-GC1</t>
        </is>
      </c>
      <c r="F4" s="9" t="inlineStr">
        <is>
          <t>800GbE</t>
        </is>
      </c>
      <c r="G4" s="9" t="inlineStr">
        <is>
          <t>64x OSFP 2x800 Gb/s</t>
        </is>
      </c>
      <c r="H4" s="9" t="inlineStr">
        <is>
          <t>Spectrum-6 SN6000 2U 800GbE Ethernet switch: 64x OSFP 2x800 Gb/s</t>
        </is>
      </c>
      <c r="I4" s="14" t="inlineStr">
        <is>
          <t>https://networking-docs.nvidia.com/sn6000hw</t>
        </is>
      </c>
    </row>
    <row r="5" ht="15" customHeight="1" s="10">
      <c r="A5" s="9" t="inlineStr">
        <is>
          <t>SN6600</t>
        </is>
      </c>
      <c r="B5" s="9" t="inlineStr">
        <is>
          <t>Spectrum-6 SN6000</t>
        </is>
      </c>
      <c r="C5" s="9" t="inlineStr">
        <is>
          <t>documented</t>
        </is>
      </c>
      <c r="D5" s="9" t="inlineStr">
        <is>
          <t>—</t>
        </is>
      </c>
      <c r="E5" s="9" t="inlineStr">
        <is>
          <t>920-9N63F-00RI-3C0</t>
        </is>
      </c>
      <c r="F5" s="9" t="inlineStr">
        <is>
          <t>800GbE</t>
        </is>
      </c>
      <c r="G5" s="9" t="inlineStr">
        <is>
          <t>64x OSFP 2x800 Gb/s</t>
        </is>
      </c>
      <c r="H5" s="9" t="inlineStr">
        <is>
          <t>Spectrum-6 SN6000 3U 800GbE Ethernet switch: 64x OSFP 2x800 Gb/s</t>
        </is>
      </c>
      <c r="I5" s="14" t="inlineStr">
        <is>
          <t>https://networking-docs.nvidia.com/sn6000hw</t>
        </is>
      </c>
    </row>
    <row r="6" ht="15" customHeight="1" s="10">
      <c r="A6" s="9" t="inlineStr">
        <is>
          <t>SN5610</t>
        </is>
      </c>
      <c r="B6" s="9" t="inlineStr">
        <is>
          <t>Spectrum-4 SN5000</t>
        </is>
      </c>
      <c r="C6" s="9" t="inlineStr">
        <is>
          <t>documented</t>
        </is>
      </c>
      <c r="D6" s="9" t="inlineStr">
        <is>
          <t>—</t>
        </is>
      </c>
      <c r="E6" s="9" t="inlineStr">
        <is>
          <t>920-9N42F-00RI-3C1</t>
        </is>
      </c>
      <c r="F6" s="9" t="inlineStr">
        <is>
          <t>800GbE</t>
        </is>
      </c>
      <c r="G6" s="9" t="inlineStr">
        <is>
          <t>64x OSFP 800GbE; 2x SFP28 25GbE</t>
        </is>
      </c>
      <c r="H6" s="9" t="inlineStr">
        <is>
          <t>Spectrum-4 SN5000 2U 800GbE Ethernet switch: 64x OSFP 800GbE + 2x SFP28 25GbE</t>
        </is>
      </c>
      <c r="I6" s="14" t="inlineStr">
        <is>
          <t>https://networking-docs.nvidia.com/sn5000hw</t>
        </is>
      </c>
    </row>
    <row r="7" ht="15" customHeight="1" s="10">
      <c r="A7" s="9" t="inlineStr">
        <is>
          <t>SN5600</t>
        </is>
      </c>
      <c r="B7" s="9" t="inlineStr">
        <is>
          <t>Spectrum-4 SN5000</t>
        </is>
      </c>
      <c r="C7" s="9" t="inlineStr">
        <is>
          <t>end_of_life</t>
        </is>
      </c>
      <c r="D7" s="9" t="inlineStr">
        <is>
          <t>—</t>
        </is>
      </c>
      <c r="E7" s="9" t="inlineStr">
        <is>
          <t>920-9N42F-00RI-7C0</t>
        </is>
      </c>
      <c r="F7" s="9" t="inlineStr">
        <is>
          <t>800GbE</t>
        </is>
      </c>
      <c r="G7" s="9" t="inlineStr">
        <is>
          <t>64x OSFP 800GbE; 1x SFP28 25GbE</t>
        </is>
      </c>
      <c r="H7" s="9" t="inlineStr">
        <is>
          <t>Spectrum-4 SN5000 2U 800GbE Ethernet switch: 64x OSFP 800GbE + 1x SFP28 25GbE</t>
        </is>
      </c>
      <c r="I7" s="14" t="inlineStr">
        <is>
          <t>https://networking-docs.nvidia.com/sn5000hw</t>
        </is>
      </c>
    </row>
    <row r="8" ht="15" customHeight="1" s="10">
      <c r="A8" s="9" t="inlineStr">
        <is>
          <t>SN5600D</t>
        </is>
      </c>
      <c r="B8" s="9" t="inlineStr">
        <is>
          <t>Spectrum-4 SN5000</t>
        </is>
      </c>
      <c r="C8" s="9" t="inlineStr">
        <is>
          <t>documented</t>
        </is>
      </c>
      <c r="D8" s="9" t="inlineStr">
        <is>
          <t>—</t>
        </is>
      </c>
      <c r="E8" s="9" t="inlineStr">
        <is>
          <t>920-9N42F-00RI-KC0</t>
        </is>
      </c>
      <c r="F8" s="9" t="inlineStr">
        <is>
          <t>800GbE</t>
        </is>
      </c>
      <c r="G8" s="9" t="inlineStr">
        <is>
          <t>64x OSFP 800GbE; 1x SFP28 25GbE</t>
        </is>
      </c>
      <c r="H8" s="9" t="inlineStr">
        <is>
          <t>Spectrum-4 SN5000 2U 800GbE Ethernet switch: 64x OSFP 800GbE + 1x SFP28 25GbE</t>
        </is>
      </c>
      <c r="I8" s="14" t="inlineStr">
        <is>
          <t>https://networking-docs.nvidia.com/sn5000hw</t>
        </is>
      </c>
    </row>
    <row r="9" ht="15" customHeight="1" s="10">
      <c r="A9" s="9" t="inlineStr">
        <is>
          <t>SN5400</t>
        </is>
      </c>
      <c r="B9" s="9" t="inlineStr">
        <is>
          <t>Spectrum-4 SN5000</t>
        </is>
      </c>
      <c r="C9" s="9" t="inlineStr">
        <is>
          <t>documented</t>
        </is>
      </c>
      <c r="D9" s="9" t="inlineStr">
        <is>
          <t>—</t>
        </is>
      </c>
      <c r="E9" s="9" t="inlineStr">
        <is>
          <t>920-9N42C-00RB-7C0, 920-9N42C-00FB-7C0</t>
        </is>
      </c>
      <c r="F9" s="9" t="inlineStr">
        <is>
          <t>400GbE</t>
        </is>
      </c>
      <c r="G9" s="9" t="inlineStr">
        <is>
          <t>64x QSFP-DD 400GbE; 2x SFP28 25GbE</t>
        </is>
      </c>
      <c r="H9" s="9" t="inlineStr">
        <is>
          <t>Spectrum-4 SN5000 2U 400GbE Ethernet switch: 64x QSFP-DD 400GbE + 2x SFP28 25GbE</t>
        </is>
      </c>
      <c r="I9" s="14" t="inlineStr">
        <is>
          <t>https://networking-docs.nvidia.com/sn5000hw</t>
        </is>
      </c>
    </row>
    <row r="10" ht="15" customHeight="1" s="10">
      <c r="A10" s="9" t="inlineStr">
        <is>
          <t>SN4600C</t>
        </is>
      </c>
      <c r="B10" s="9" t="inlineStr">
        <is>
          <t>Spectrum-3 SN4000</t>
        </is>
      </c>
      <c r="C10" s="9" t="inlineStr">
        <is>
          <t>documented</t>
        </is>
      </c>
      <c r="D10" s="9" t="inlineStr">
        <is>
          <t>MSN4600-CS2FC / MSN4600-CS2RC</t>
        </is>
      </c>
      <c r="E10" s="9" t="inlineStr">
        <is>
          <t>920-9N302-00F7-0C2, 920-9N302-00R7-0C0</t>
        </is>
      </c>
      <c r="F10" s="9" t="inlineStr">
        <is>
          <t>100GbE</t>
        </is>
      </c>
      <c r="G10" s="9" t="inlineStr">
        <is>
          <t>64x QSFP28 100GbE</t>
        </is>
      </c>
      <c r="H10" s="9" t="inlineStr">
        <is>
          <t>Spectrum-3 SN4000 2U 100GbE Ethernet switch: 64x QSFP28 100GbE</t>
        </is>
      </c>
      <c r="I10" s="14" t="inlineStr">
        <is>
          <t>https://networking-docs.nvidia.com/sn4000hw</t>
        </is>
      </c>
    </row>
    <row r="11" ht="15" customHeight="1" s="10">
      <c r="A11" s="9" t="inlineStr">
        <is>
          <t>SN4700</t>
        </is>
      </c>
      <c r="B11" s="9" t="inlineStr">
        <is>
          <t>Spectrum-3 SN4000</t>
        </is>
      </c>
      <c r="C11" s="9" t="inlineStr">
        <is>
          <t>documented</t>
        </is>
      </c>
      <c r="D11" s="9" t="inlineStr">
        <is>
          <t>MSN4700-WS2FC / MSN4700-WS2RC</t>
        </is>
      </c>
      <c r="E11" s="9" t="inlineStr">
        <is>
          <t>920-9N301-00FB-0C0, 920-9N301-00RB-0C0</t>
        </is>
      </c>
      <c r="F11" s="9" t="inlineStr">
        <is>
          <t>400GbE</t>
        </is>
      </c>
      <c r="G11" s="9" t="inlineStr">
        <is>
          <t>32x QSFP-DD 400GbE</t>
        </is>
      </c>
      <c r="H11" s="9" t="inlineStr">
        <is>
          <t>Spectrum-3 SN4000 1U 400GbE Ethernet switch: 32x QSFP-DD 400GbE</t>
        </is>
      </c>
      <c r="I11" s="14" t="inlineStr">
        <is>
          <t>https://networking-docs.nvidia.com/sn4000hw</t>
        </is>
      </c>
    </row>
    <row r="12" ht="15" customHeight="1" s="10">
      <c r="A12" s="9" t="inlineStr">
        <is>
          <t>SN3420</t>
        </is>
      </c>
      <c r="B12" s="9" t="inlineStr">
        <is>
          <t>Spectrum-2 SN3000</t>
        </is>
      </c>
      <c r="C12" s="9" t="inlineStr">
        <is>
          <t>documented</t>
        </is>
      </c>
      <c r="D12" s="9" t="inlineStr">
        <is>
          <t>MSN3420-CB2FC / MSN3420-CB2RC</t>
        </is>
      </c>
      <c r="E12" s="9" t="inlineStr">
        <is>
          <t>920-9N213-00F7-0C0, 920-9N213-00R7-0C0</t>
        </is>
      </c>
      <c r="F12" s="9" t="inlineStr">
        <is>
          <t>100GbE</t>
        </is>
      </c>
      <c r="G12" s="9" t="inlineStr">
        <is>
          <t>12x QSFP28 100GbE; 48x SFP28 25GbE</t>
        </is>
      </c>
      <c r="H12" s="9" t="inlineStr">
        <is>
          <t>Spectrum-2 SN3000 1U 100GbE Ethernet switch: 12x QSFP28 100GbE + 48x SFP28 25GbE</t>
        </is>
      </c>
      <c r="I12" s="14" t="inlineStr">
        <is>
          <t>https://networking-docs.nvidia.com/sn3000hw</t>
        </is>
      </c>
    </row>
    <row r="13" ht="15" customHeight="1" s="10">
      <c r="A13" s="9" t="inlineStr">
        <is>
          <t>SN2201</t>
        </is>
      </c>
      <c r="B13" s="9" t="inlineStr">
        <is>
          <t>Spectrum SN2000</t>
        </is>
      </c>
      <c r="C13" s="9" t="inlineStr">
        <is>
          <t>documented</t>
        </is>
      </c>
      <c r="D13" s="9" t="inlineStr">
        <is>
          <t>MSN2201-CB2FC / MSN2201-CB2RC / MSN2201-CSMRC</t>
        </is>
      </c>
      <c r="E13" s="9" t="inlineStr">
        <is>
          <t>920-9N110-00F1-0C0, 920-9N110-00R1-0C0, 920-9N110-00R1-NC0</t>
        </is>
      </c>
      <c r="F13" s="9" t="inlineStr">
        <is>
          <t>100GbE</t>
        </is>
      </c>
      <c r="G13" s="9" t="inlineStr">
        <is>
          <t>48x RJ45 fixed; 4x QSFP28 100GbE</t>
        </is>
      </c>
      <c r="H13" s="9" t="inlineStr">
        <is>
          <t>Spectrum SN2000 1U 100GbE Ethernet switch: 48x RJ45 + 4x QSFP28 100GbE</t>
        </is>
      </c>
      <c r="I13" s="14" t="inlineStr">
        <is>
          <t>https://networking-docs.nvidia.com/sn2201hw</t>
        </is>
      </c>
    </row>
    <row r="14" ht="15" customHeight="1" s="10">
      <c r="A14" s="9" t="inlineStr">
        <is>
          <t>SN4600</t>
        </is>
      </c>
      <c r="B14" s="9" t="inlineStr">
        <is>
          <t>Spectrum-3 SN4000</t>
        </is>
      </c>
      <c r="C14" s="9" t="inlineStr">
        <is>
          <t>documented</t>
        </is>
      </c>
      <c r="D14" s="9" t="inlineStr">
        <is>
          <t>MSN4600-CS2FC / MSN4600-CS2RC</t>
        </is>
      </c>
      <c r="E14" s="9" t="inlineStr">
        <is>
          <t>920-9N302-00F7-0C2, 920-9N302-00R7-0C0</t>
        </is>
      </c>
      <c r="F14" s="9" t="inlineStr">
        <is>
          <t>100GbE</t>
        </is>
      </c>
      <c r="G14" s="9" t="inlineStr">
        <is>
          <t>64x QSFP28 100GbE</t>
        </is>
      </c>
      <c r="H14" s="9" t="inlineStr">
        <is>
          <t>Spectrum-3 SN4000 2U 100GbE Ethernet switch: 64x QSFP28 100GbE</t>
        </is>
      </c>
      <c r="I14" s="14" t="inlineStr">
        <is>
          <t>https://networking-docs.nvidia.com/sn4000hw</t>
        </is>
      </c>
    </row>
    <row r="15" ht="15" customHeight="1" s="10">
      <c r="A15" s="9" t="inlineStr">
        <is>
          <t>SN4700D</t>
        </is>
      </c>
      <c r="B15" s="9" t="inlineStr">
        <is>
          <t>Spectrum-3 SN4000</t>
        </is>
      </c>
      <c r="C15" s="9" t="inlineStr">
        <is>
          <t>documented</t>
        </is>
      </c>
      <c r="D15" s="9" t="inlineStr">
        <is>
          <t>MSN4700-WSARC</t>
        </is>
      </c>
      <c r="E15" s="9" t="inlineStr">
        <is>
          <t>920-9N301-00RB-NC0</t>
        </is>
      </c>
      <c r="F15" s="9" t="inlineStr">
        <is>
          <t>400GbE</t>
        </is>
      </c>
      <c r="G15" s="9" t="inlineStr">
        <is>
          <t>32x QSFP-DD 400GbE</t>
        </is>
      </c>
      <c r="H15" s="9" t="inlineStr">
        <is>
          <t>Spectrum-3 SN4000 1U 400GbE Ethernet switch: 32x QSFP-DD 400GbE</t>
        </is>
      </c>
      <c r="I15" s="14" t="inlineStr">
        <is>
          <t>https://networking-docs.nvidia.com/sn4000hw</t>
        </is>
      </c>
    </row>
    <row r="1048576" ht="12.75" customHeight="1" s="10"/>
  </sheetData>
  <autoFilter ref="A1:I15"/>
  <hyperlinks>
    <hyperlink xmlns:r="http://schemas.openxmlformats.org/officeDocument/2006/relationships" ref="I2" display="https://networking-docs.nvidia.com/sn6000hw" r:id="rId1"/>
    <hyperlink xmlns:r="http://schemas.openxmlformats.org/officeDocument/2006/relationships" ref="I3" display="https://networking-docs.nvidia.com/sn6000hw" r:id="rId2"/>
    <hyperlink xmlns:r="http://schemas.openxmlformats.org/officeDocument/2006/relationships" ref="I4" display="https://networking-docs.nvidia.com/sn6000hw" r:id="rId3"/>
    <hyperlink xmlns:r="http://schemas.openxmlformats.org/officeDocument/2006/relationships" ref="I5" display="https://networking-docs.nvidia.com/sn6000hw" r:id="rId4"/>
    <hyperlink xmlns:r="http://schemas.openxmlformats.org/officeDocument/2006/relationships" ref="I6" display="https://networking-docs.nvidia.com/sn5000hw" r:id="rId5"/>
    <hyperlink xmlns:r="http://schemas.openxmlformats.org/officeDocument/2006/relationships" ref="I7" display="https://networking-docs.nvidia.com/sn5000hw" r:id="rId6"/>
    <hyperlink xmlns:r="http://schemas.openxmlformats.org/officeDocument/2006/relationships" ref="I8" display="https://networking-docs.nvidia.com/sn5000hw" r:id="rId7"/>
    <hyperlink xmlns:r="http://schemas.openxmlformats.org/officeDocument/2006/relationships" ref="I9" display="https://networking-docs.nvidia.com/sn5000hw" r:id="rId8"/>
    <hyperlink xmlns:r="http://schemas.openxmlformats.org/officeDocument/2006/relationships" ref="I10" display="https://networking-docs.nvidia.com/sn4000hw" r:id="rId9"/>
    <hyperlink xmlns:r="http://schemas.openxmlformats.org/officeDocument/2006/relationships" ref="I11" display="https://networking-docs.nvidia.com/sn4000hw" r:id="rId10"/>
    <hyperlink xmlns:r="http://schemas.openxmlformats.org/officeDocument/2006/relationships" ref="I12" display="https://networking-docs.nvidia.com/sn3000hw" r:id="rId11"/>
    <hyperlink xmlns:r="http://schemas.openxmlformats.org/officeDocument/2006/relationships" ref="I13" display="https://networking-docs.nvidia.com/sn2201hw" r:id="rId12"/>
    <hyperlink xmlns:r="http://schemas.openxmlformats.org/officeDocument/2006/relationships" ref="I14" display="https://networking-docs.nvidia.com/sn4000hw" r:id="rId13"/>
    <hyperlink xmlns:r="http://schemas.openxmlformats.org/officeDocument/2006/relationships" ref="I15" display="https://networking-docs.nvidia.com/sn4000hw" r:id="rId1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9" min="1" max="1"/>
    <col width="36" customWidth="1" style="9" min="2" max="2"/>
    <col width="12" customWidth="1" style="9" min="3" max="4"/>
    <col width="32" customWidth="1" style="9" min="5" max="5"/>
    <col width="23" customWidth="1" style="9" min="6" max="6"/>
    <col width="60" customWidth="1" style="9" min="7" max="9"/>
  </cols>
  <sheetData>
    <row r="1" ht="27.75" customHeight="1" s="10">
      <c r="A1" s="13" t="inlineStr">
        <is>
          <t>Model</t>
        </is>
      </c>
      <c r="B1" s="13" t="inlineStr">
        <is>
          <t>Family</t>
        </is>
      </c>
      <c r="C1" s="13" t="inlineStr">
        <is>
          <t>Status</t>
        </is>
      </c>
      <c r="D1" s="13" t="inlineStr">
        <is>
          <t>Legacy OPN</t>
        </is>
      </c>
      <c r="E1" s="13" t="inlineStr">
        <is>
          <t>NVIDIA OPN</t>
        </is>
      </c>
      <c r="F1" s="13" t="inlineStr">
        <is>
          <t>Speed</t>
        </is>
      </c>
      <c r="G1" s="13" t="inlineStr">
        <is>
          <t>Cages / interfaces</t>
        </is>
      </c>
      <c r="H1" s="13" t="inlineStr">
        <is>
          <t>Description</t>
        </is>
      </c>
      <c r="I1" s="13" t="inlineStr">
        <is>
          <t>Link</t>
        </is>
      </c>
    </row>
    <row r="2" ht="15" customHeight="1" s="10">
      <c r="A2" s="9" t="inlineStr">
        <is>
          <t>Q3200-RA</t>
        </is>
      </c>
      <c r="B2" s="9" t="inlineStr">
        <is>
          <t>Quantum-X800</t>
        </is>
      </c>
      <c r="C2" s="9" t="inlineStr">
        <is>
          <t>documented</t>
        </is>
      </c>
      <c r="D2" s="9" t="inlineStr">
        <is>
          <t>—</t>
        </is>
      </c>
      <c r="E2" s="9" t="inlineStr">
        <is>
          <t>920-9B34F-00RX-FS0</t>
        </is>
      </c>
      <c r="F2" s="9" t="inlineStr">
        <is>
          <t>800Gb/s XDR</t>
        </is>
      </c>
      <c r="G2" s="9" t="inlineStr">
        <is>
          <t>36x OSFP 800Gb/s XDR (twin-port, 72 ports)</t>
        </is>
      </c>
      <c r="H2" s="9" t="inlineStr">
        <is>
          <t>Quantum-X800 800Gb/s XDR: 2x18 OSFP</t>
        </is>
      </c>
      <c r="I2" s="14" t="inlineStr">
        <is>
          <t>https://networking-docs.nvidia.com/switches#nvidiatab-hw-documentation</t>
        </is>
      </c>
    </row>
    <row r="3" ht="15" customHeight="1" s="10">
      <c r="A3" s="9" t="inlineStr">
        <is>
          <t>Q3400-RA</t>
        </is>
      </c>
      <c r="B3" s="9" t="inlineStr">
        <is>
          <t>Quantum-X800</t>
        </is>
      </c>
      <c r="C3" s="9" t="inlineStr">
        <is>
          <t>documented</t>
        </is>
      </c>
      <c r="D3" s="9" t="inlineStr">
        <is>
          <t>—</t>
        </is>
      </c>
      <c r="E3" s="9" t="inlineStr">
        <is>
          <t>920-9B36F-00RX-8S0</t>
        </is>
      </c>
      <c r="F3" s="9" t="inlineStr">
        <is>
          <t>800Gb/s XDR</t>
        </is>
      </c>
      <c r="G3" s="9" t="inlineStr">
        <is>
          <t>72x OSFP 800Gb/s XDR (twin-port, 144 ports)</t>
        </is>
      </c>
      <c r="H3" s="9" t="inlineStr">
        <is>
          <t>Quantum-X800 800Gb/s XDR: 72x OSFP</t>
        </is>
      </c>
      <c r="I3" s="14" t="inlineStr">
        <is>
          <t>https://networking-docs.nvidia.com/switches#nvidiatab-hw-documentation</t>
        </is>
      </c>
    </row>
    <row r="4" ht="15" customHeight="1" s="10">
      <c r="A4" s="9" t="inlineStr">
        <is>
          <t>Q3401-RD</t>
        </is>
      </c>
      <c r="B4" s="9" t="inlineStr">
        <is>
          <t>Quantum-X800</t>
        </is>
      </c>
      <c r="C4" s="9" t="inlineStr">
        <is>
          <t>documented</t>
        </is>
      </c>
      <c r="D4" s="9" t="inlineStr">
        <is>
          <t>—</t>
        </is>
      </c>
      <c r="E4" s="9" t="inlineStr">
        <is>
          <t>920-9B36P-00RX-8S0</t>
        </is>
      </c>
      <c r="F4" s="9" t="inlineStr">
        <is>
          <t>800Gb/s XDR</t>
        </is>
      </c>
      <c r="G4" s="9" t="inlineStr">
        <is>
          <t>72x OSFP 800Gb/s XDR (twin-port, 144 ports)</t>
        </is>
      </c>
      <c r="H4" s="9" t="inlineStr">
        <is>
          <t>Quantum-X800 800Gb/s XDR: 72x OSFP</t>
        </is>
      </c>
      <c r="I4" s="14" t="inlineStr">
        <is>
          <t>https://networking-docs.nvidia.com/switches#nvidiatab-hw-documentation</t>
        </is>
      </c>
    </row>
    <row r="5" ht="15" customHeight="1" s="10">
      <c r="A5" s="9" t="inlineStr">
        <is>
          <t>Q3450-LD</t>
        </is>
      </c>
      <c r="B5" s="9" t="inlineStr">
        <is>
          <t>Quantum-X Photonics / Quantum-X800</t>
        </is>
      </c>
      <c r="C5" s="9" t="inlineStr">
        <is>
          <t>documented</t>
        </is>
      </c>
      <c r="D5" s="9" t="inlineStr">
        <is>
          <t>—</t>
        </is>
      </c>
      <c r="E5" s="9" t="inlineStr">
        <is>
          <t>920-9B36M-00MX-8ES</t>
        </is>
      </c>
      <c r="F5" s="9" t="inlineStr">
        <is>
          <t>800Gb/s XDR</t>
        </is>
      </c>
      <c r="G5" s="9" t="inlineStr">
        <is>
          <t>144x MPO-12 CPO 800Gb/s XDR fixed</t>
        </is>
      </c>
      <c r="H5" s="9" t="inlineStr">
        <is>
          <t>Quantum-X Photonics / Quantum-X800 800Gb/s XDR: 144x MPO12 CPO</t>
        </is>
      </c>
      <c r="I5" s="14" t="inlineStr">
        <is>
          <t>https://networking-docs.nvidia.com/switches#nvidiatab-hw-documentation</t>
        </is>
      </c>
    </row>
    <row r="6" ht="15" customHeight="1" s="10">
      <c r="A6" s="9" t="inlineStr">
        <is>
          <t>QM9700 family</t>
        </is>
      </c>
      <c r="B6" s="9" t="inlineStr">
        <is>
          <t>Quantum-2</t>
        </is>
      </c>
      <c r="C6" s="9" t="inlineStr">
        <is>
          <t>documented</t>
        </is>
      </c>
      <c r="D6" s="9" t="inlineStr">
        <is>
          <t>—</t>
        </is>
      </c>
      <c r="E6" s="9" t="inlineStr">
        <is>
          <t>—</t>
        </is>
      </c>
      <c r="F6" s="9" t="inlineStr">
        <is>
          <t>400Gb/s NDR</t>
        </is>
      </c>
      <c r="G6" s="9" t="inlineStr">
        <is>
          <t>OSFP 400Gb/s NDR</t>
        </is>
      </c>
      <c r="H6" s="9" t="inlineStr">
        <is>
          <t>Quantum-2 400Gb/s NDR: OSFP</t>
        </is>
      </c>
      <c r="I6" s="14" t="inlineStr">
        <is>
          <t>https://networking-docs.nvidia.com/switches#nvidiatab-hw-documentation</t>
        </is>
      </c>
    </row>
    <row r="7" ht="15" customHeight="1" s="10">
      <c r="A7" s="9" t="inlineStr">
        <is>
          <t>Skyway</t>
        </is>
      </c>
      <c r="B7" s="9" t="inlineStr">
        <is>
          <t>InfiniBand-to-Ethernet Gateway</t>
        </is>
      </c>
      <c r="C7" s="9" t="inlineStr">
        <is>
          <t>documented</t>
        </is>
      </c>
      <c r="D7" s="9" t="inlineStr">
        <is>
          <t>MGA100-HS2</t>
        </is>
      </c>
      <c r="E7" s="9" t="inlineStr">
        <is>
          <t>920-9B020-00FA-0D2</t>
        </is>
      </c>
      <c r="F7" s="9" t="inlineStr">
        <is>
          <t>100/200 Gb/s per port</t>
        </is>
      </c>
      <c r="G7" s="9" t="inlineStr">
        <is>
          <t>8x QSFP56 100/200 Gb/s [InfiniBand]; 8x QSFP56 100/200 Gb/s [Ethernet]</t>
        </is>
      </c>
      <c r="H7" s="9" t="inlineStr">
        <is>
          <t>InfiniBand-to-Ethernet Gateway 100/200 Gb/s per port: 8 ports per InfiniBand and Ethernet side</t>
        </is>
      </c>
      <c r="I7" s="14" t="inlineStr">
        <is>
          <t>https://networking-docs.nvidia.com/skyway</t>
        </is>
      </c>
    </row>
    <row r="8" ht="15" customHeight="1" s="10">
      <c r="A8" s="9" t="inlineStr">
        <is>
          <t>MetroX-3 XC</t>
        </is>
      </c>
      <c r="B8" s="9" t="inlineStr">
        <is>
          <t>Long-haul InfiniBand</t>
        </is>
      </c>
      <c r="C8" s="9" t="inlineStr">
        <is>
          <t>end_of_life</t>
        </is>
      </c>
      <c r="D8" s="9" t="inlineStr">
        <is>
          <t>MTQ8400-HS2R / MTQ8400-HS2RC</t>
        </is>
      </c>
      <c r="E8" s="9" t="inlineStr">
        <is>
          <t>920-9B020-00FA-0DZ, 920-9B020-00FA-6DZ</t>
        </is>
      </c>
      <c r="F8" s="9" t="inlineStr">
        <is>
          <t>InfiniBand extension</t>
        </is>
      </c>
      <c r="G8" s="9" t="inlineStr">
        <is>
          <t>OSFP; 2x QSFP112 100Gb/s long-haul (DWDM-ready)</t>
        </is>
      </c>
      <c r="H8" s="9" t="inlineStr">
        <is>
          <t>Long-haul InfiniBand InfiniBand extension</t>
        </is>
      </c>
      <c r="I8" s="14" t="inlineStr">
        <is>
          <t>https://networking-docs.nvidia.com/metrox3xc</t>
        </is>
      </c>
    </row>
    <row r="9" ht="15" customHeight="1" s="10">
      <c r="A9" s="9" t="inlineStr">
        <is>
          <t>UFM Telemetry</t>
        </is>
      </c>
      <c r="B9" s="9" t="inlineStr">
        <is>
          <t>UFM platform</t>
        </is>
      </c>
      <c r="C9" s="9" t="inlineStr">
        <is>
          <t>documented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—</t>
        </is>
      </c>
      <c r="G9" s="9" t="inlineStr">
        <is>
          <t>—</t>
        </is>
      </c>
      <c r="H9" s="9" t="inlineStr">
        <is>
          <t>UFM platform</t>
        </is>
      </c>
      <c r="I9" s="14" t="inlineStr">
        <is>
          <t>https://networking-docs.nvidia.com/switches#nvidiatab-hw-documentation</t>
        </is>
      </c>
    </row>
    <row r="10" ht="15" customHeight="1" s="10">
      <c r="A10" s="9" t="inlineStr">
        <is>
          <t>UFM Enterprise</t>
        </is>
      </c>
      <c r="B10" s="9" t="inlineStr">
        <is>
          <t>UFM platform</t>
        </is>
      </c>
      <c r="C10" s="9" t="inlineStr">
        <is>
          <t>documented</t>
        </is>
      </c>
      <c r="D10" s="9" t="inlineStr">
        <is>
          <t>—</t>
        </is>
      </c>
      <c r="E10" s="9" t="inlineStr">
        <is>
          <t>—</t>
        </is>
      </c>
      <c r="F10" s="9" t="inlineStr">
        <is>
          <t>—</t>
        </is>
      </c>
      <c r="G10" s="9" t="inlineStr">
        <is>
          <t>—</t>
        </is>
      </c>
      <c r="H10" s="9" t="inlineStr">
        <is>
          <t>UFM platform</t>
        </is>
      </c>
      <c r="I10" s="14" t="inlineStr">
        <is>
          <t>https://networking-docs.nvidia.com/switches#nvidiatab-hw-documentation</t>
        </is>
      </c>
    </row>
    <row r="11" ht="15" customHeight="1" s="10">
      <c r="A11" s="9" t="inlineStr">
        <is>
          <t>UFM Cyber-AI</t>
        </is>
      </c>
      <c r="B11" s="9" t="inlineStr">
        <is>
          <t>UFM platform</t>
        </is>
      </c>
      <c r="C11" s="9" t="inlineStr">
        <is>
          <t>documented</t>
        </is>
      </c>
      <c r="D11" s="9" t="inlineStr">
        <is>
          <t>—</t>
        </is>
      </c>
      <c r="E11" s="9" t="inlineStr">
        <is>
          <t>—</t>
        </is>
      </c>
      <c r="F11" s="9" t="inlineStr">
        <is>
          <t>—</t>
        </is>
      </c>
      <c r="G11" s="9" t="inlineStr">
        <is>
          <t>—</t>
        </is>
      </c>
      <c r="H11" s="9" t="inlineStr">
        <is>
          <t>UFM platform</t>
        </is>
      </c>
      <c r="I11" s="14" t="inlineStr">
        <is>
          <t>https://networking-docs.nvidia.com/switches#nvidiatab-hw-documentation</t>
        </is>
      </c>
    </row>
    <row r="12" ht="15" customHeight="1" s="10">
      <c r="A12" s="9" t="inlineStr">
        <is>
          <t>Skyway-3</t>
        </is>
      </c>
      <c r="B12" s="9" t="inlineStr">
        <is>
          <t>InfiniBand-to-Ethernet Gateway</t>
        </is>
      </c>
      <c r="C12" s="9" t="inlineStr">
        <is>
          <t>active</t>
        </is>
      </c>
      <c r="D12" s="9" t="inlineStr">
        <is>
          <t>—</t>
        </is>
      </c>
      <c r="E12" s="9" t="inlineStr">
        <is>
          <t>920-9B02D-00RG-CF0, MGA400-XS2</t>
        </is>
      </c>
      <c r="F12" s="9" t="inlineStr">
        <is>
          <t>XDR/Ethernet gateway</t>
        </is>
      </c>
      <c r="G12" s="9" t="inlineStr">
        <is>
          <t>8x QSFP112 [InfiniBand]; 8x QSFP112 [Ethernet]</t>
        </is>
      </c>
      <c r="H12" s="9" t="inlineStr">
        <is>
          <t>InfiniBand-to-Ethernet Gateway XDR/Ethernet gateway: 8x IB + 8x Ethernet QSFP112</t>
        </is>
      </c>
      <c r="I12" s="14" t="inlineStr">
        <is>
          <t>https://networking-docs.nvidia.com/skyway3hw</t>
        </is>
      </c>
    </row>
  </sheetData>
  <autoFilter ref="A1:I12"/>
  <hyperlinks>
    <hyperlink xmlns:r="http://schemas.openxmlformats.org/officeDocument/2006/relationships" ref="I2" location="nvidiatab-hw-documentation" display="https://networking-docs.nvidia.com/switches#nvidiatab-hw-documentation" r:id="rId1"/>
    <hyperlink xmlns:r="http://schemas.openxmlformats.org/officeDocument/2006/relationships" ref="I3" location="nvidiatab-hw-documentation" display="https://networking-docs.nvidia.com/switches#nvidiatab-hw-documentation" r:id="rId2"/>
    <hyperlink xmlns:r="http://schemas.openxmlformats.org/officeDocument/2006/relationships" ref="I4" location="nvidiatab-hw-documentation" display="https://networking-docs.nvidia.com/switches#nvidiatab-hw-documentation" r:id="rId3"/>
    <hyperlink xmlns:r="http://schemas.openxmlformats.org/officeDocument/2006/relationships" ref="I5" location="nvidiatab-hw-documentation" display="https://networking-docs.nvidia.com/switches#nvidiatab-hw-documentation" r:id="rId4"/>
    <hyperlink xmlns:r="http://schemas.openxmlformats.org/officeDocument/2006/relationships" ref="I6" location="nvidiatab-hw-documentation" display="https://networking-docs.nvidia.com/switches#nvidiatab-hw-documentation" r:id="rId5"/>
    <hyperlink xmlns:r="http://schemas.openxmlformats.org/officeDocument/2006/relationships" ref="I7" display="https://networking-docs.nvidia.com/skyway" r:id="rId6"/>
    <hyperlink xmlns:r="http://schemas.openxmlformats.org/officeDocument/2006/relationships" ref="I8" display="https://networking-docs.nvidia.com/metrox3xc" r:id="rId7"/>
    <hyperlink xmlns:r="http://schemas.openxmlformats.org/officeDocument/2006/relationships" ref="I9" location="nvidiatab-hw-documentation" display="https://networking-docs.nvidia.com/switches#nvidiatab-hw-documentation" r:id="rId8"/>
    <hyperlink xmlns:r="http://schemas.openxmlformats.org/officeDocument/2006/relationships" ref="I10" location="nvidiatab-hw-documentation" display="https://networking-docs.nvidia.com/switches#nvidiatab-hw-documentation" r:id="rId9"/>
    <hyperlink xmlns:r="http://schemas.openxmlformats.org/officeDocument/2006/relationships" ref="I11" location="nvidiatab-hw-documentation" display="https://networking-docs.nvidia.com/switches#nvidiatab-hw-documentation" r:id="rId10"/>
    <hyperlink xmlns:r="http://schemas.openxmlformats.org/officeDocument/2006/relationships" ref="I12" display="https://networking-docs.nvidia.com/skyway3hw" r:id="rId1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0" customWidth="1" style="9" min="1" max="1"/>
    <col width="32" customWidth="1" style="9" min="2" max="2"/>
    <col width="12" customWidth="1" style="9" min="3" max="5"/>
    <col width="30" customWidth="1" style="9" min="6" max="6"/>
    <col width="35" customWidth="1" style="9" min="7" max="7"/>
    <col width="60" customWidth="1" style="9" min="8" max="9"/>
  </cols>
  <sheetData>
    <row r="1" ht="27.75" customHeight="1" s="10">
      <c r="A1" s="13" t="inlineStr">
        <is>
          <t>Model</t>
        </is>
      </c>
      <c r="B1" s="13" t="inlineStr">
        <is>
          <t>Family</t>
        </is>
      </c>
      <c r="C1" s="13" t="inlineStr">
        <is>
          <t>Status</t>
        </is>
      </c>
      <c r="D1" s="13" t="inlineStr">
        <is>
          <t>Legacy OPN</t>
        </is>
      </c>
      <c r="E1" s="13" t="inlineStr">
        <is>
          <t>NVIDIA OPN</t>
        </is>
      </c>
      <c r="F1" s="13" t="inlineStr">
        <is>
          <t>Speed</t>
        </is>
      </c>
      <c r="G1" s="13" t="inlineStr">
        <is>
          <t>Cages / interfaces</t>
        </is>
      </c>
      <c r="H1" s="13" t="inlineStr">
        <is>
          <t>Description</t>
        </is>
      </c>
      <c r="I1" s="13" t="inlineStr">
        <is>
          <t>Link</t>
        </is>
      </c>
    </row>
    <row r="2" ht="15" customHeight="1" s="10">
      <c r="A2" s="9" t="inlineStr">
        <is>
          <t>Q3450-LD</t>
        </is>
      </c>
      <c r="B2" s="9" t="inlineStr">
        <is>
          <t>Quantum-X InfiniBand Photonics</t>
        </is>
      </c>
      <c r="C2" s="9" t="inlineStr">
        <is>
          <t>documented</t>
        </is>
      </c>
      <c r="D2" s="9" t="inlineStr">
        <is>
          <t>—</t>
        </is>
      </c>
      <c r="E2" s="9" t="inlineStr">
        <is>
          <t>920-9B36M-00MX-8ES</t>
        </is>
      </c>
      <c r="F2" s="9" t="inlineStr">
        <is>
          <t>800Gb/s XDR</t>
        </is>
      </c>
      <c r="G2" s="9" t="inlineStr">
        <is>
          <t>144x MPO-12 CPO 800Gb/s XDR fixed</t>
        </is>
      </c>
      <c r="H2" s="9" t="inlineStr">
        <is>
          <t>Quantum-X InfiniBand Photonics: co-packaged optics, 800Gb/s XDR, 115.2 Tb/s</t>
        </is>
      </c>
      <c r="I2" s="14" t="inlineStr">
        <is>
          <t>https://networking-docs.nvidia.com/xdrswitcheshw</t>
        </is>
      </c>
    </row>
    <row r="3" ht="15" customHeight="1" s="10">
      <c r="A3" s="9" t="inlineStr">
        <is>
          <t>Spectrum-X Ethernet Photonics Switches</t>
        </is>
      </c>
      <c r="B3" s="9" t="inlineStr">
        <is>
          <t>Spectrum-X Ethernet Photonics</t>
        </is>
      </c>
      <c r="C3" s="9" t="inlineStr">
        <is>
          <t>active</t>
        </is>
      </c>
      <c r="D3" s="9" t="inlineStr">
        <is>
          <t>—</t>
        </is>
      </c>
      <c r="E3" s="9" t="inlineStr">
        <is>
          <t>—</t>
        </is>
      </c>
      <c r="F3" s="9" t="inlineStr">
        <is>
          <t>200G SerDes CPO architecture</t>
        </is>
      </c>
      <c r="G3" s="9" t="inlineStr">
        <is>
          <t>—</t>
        </is>
      </c>
      <c r="H3" s="9" t="inlineStr">
        <is>
          <t>Spectrum-X Ethernet Photonics: co-packaged optics, 200G SerDes CPO architecture, up to 409.6 Tb/s</t>
        </is>
      </c>
      <c r="I3" s="14" t="inlineStr">
        <is>
          <t>https://www.nvidia.com/en-us/networking/products/silicon-photonics/</t>
        </is>
      </c>
    </row>
  </sheetData>
  <autoFilter ref="A1:I3"/>
  <hyperlinks>
    <hyperlink xmlns:r="http://schemas.openxmlformats.org/officeDocument/2006/relationships" ref="I2" display="https://networking-docs.nvidia.com/xdrswitcheshw" r:id="rId1"/>
    <hyperlink xmlns:r="http://schemas.openxmlformats.org/officeDocument/2006/relationships" ref="I3" display="https://www.nvidia.com/en-us/networking/products/silicon-photonics/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9" min="1" max="1"/>
    <col width="10" customWidth="1" style="9" min="2" max="2"/>
    <col width="12" customWidth="1" style="9" min="3" max="4"/>
    <col width="60" customWidth="1" style="9" min="5" max="5"/>
    <col width="10" customWidth="1" style="9" min="6" max="6"/>
    <col width="49" customWidth="1" style="9" min="7" max="7"/>
    <col width="60" customWidth="1" style="9" min="8" max="9"/>
  </cols>
  <sheetData>
    <row r="1" ht="27.75" customHeight="1" s="10">
      <c r="A1" s="13" t="inlineStr">
        <is>
          <t>Model</t>
        </is>
      </c>
      <c r="B1" s="13" t="inlineStr">
        <is>
          <t>Family</t>
        </is>
      </c>
      <c r="C1" s="13" t="inlineStr">
        <is>
          <t>Status</t>
        </is>
      </c>
      <c r="D1" s="13" t="inlineStr">
        <is>
          <t>Legacy OPN</t>
        </is>
      </c>
      <c r="E1" s="13" t="inlineStr">
        <is>
          <t>NVIDIA OPN</t>
        </is>
      </c>
      <c r="F1" s="13" t="inlineStr">
        <is>
          <t>Speed</t>
        </is>
      </c>
      <c r="G1" s="13" t="inlineStr">
        <is>
          <t>Cages / interfaces</t>
        </is>
      </c>
      <c r="H1" s="13" t="inlineStr">
        <is>
          <t>Description</t>
        </is>
      </c>
      <c r="I1" s="13" t="inlineStr">
        <is>
          <t>Link</t>
        </is>
      </c>
    </row>
    <row r="2" ht="15" customHeight="1" s="10">
      <c r="A2" s="9" t="inlineStr">
        <is>
          <t>BlueField-4 DPU</t>
        </is>
      </c>
      <c r="B2" s="9" t="inlineStr">
        <is>
          <t>—</t>
        </is>
      </c>
      <c r="C2" s="9" t="inlineStr">
        <is>
          <t>documented</t>
        </is>
      </c>
      <c r="D2" s="9" t="inlineStr">
        <is>
          <t>—</t>
        </is>
      </c>
      <c r="E2" s="9" t="inlineStr">
        <is>
          <t>—</t>
        </is>
      </c>
      <c r="F2" s="9" t="inlineStr">
        <is>
          <t>800Gb/s</t>
        </is>
      </c>
      <c r="G2" s="9" t="inlineStr">
        <is>
          <t>QSFP112 800Gb/s</t>
        </is>
      </c>
      <c r="H2" s="9" t="inlineStr">
        <is>
          <t>BlueField-4 DPU, 800Gb/s: networking, storage, cybersecurity, secure multi-tenancy</t>
        </is>
      </c>
      <c r="I2" s="14" t="inlineStr">
        <is>
          <t>https://www.nvidia.com/en-eu/data-center/dgx-rubin-nvl8/</t>
        </is>
      </c>
    </row>
    <row r="3" ht="15" customHeight="1" s="10">
      <c r="A3" s="9" t="inlineStr">
        <is>
          <t>BlueField-4 STX Storage Processor</t>
        </is>
      </c>
      <c r="B3" s="9" t="inlineStr">
        <is>
          <t>—</t>
        </is>
      </c>
      <c r="C3" s="9" t="inlineStr">
        <is>
          <t>documented</t>
        </is>
      </c>
      <c r="D3" s="9" t="inlineStr">
        <is>
          <t>—</t>
        </is>
      </c>
      <c r="E3" s="9" t="inlineStr">
        <is>
          <t>—</t>
        </is>
      </c>
      <c r="F3" s="9" t="inlineStr">
        <is>
          <t>—</t>
        </is>
      </c>
      <c r="G3" s="9" t="inlineStr">
        <is>
          <t>—</t>
        </is>
      </c>
      <c r="H3" s="9" t="inlineStr">
        <is>
          <t>BlueField-4 STX Storage Processor: AI-native storage, Vera CPU, in-silicon security</t>
        </is>
      </c>
      <c r="I3" s="14" t="inlineStr">
        <is>
          <t>https://www.nvidia.com/en-us/networking/products/data-processing-unit/</t>
        </is>
      </c>
    </row>
    <row r="4" ht="15" customHeight="1" s="10">
      <c r="A4" s="9" t="inlineStr">
        <is>
          <t>BlueField-3 DPU</t>
        </is>
      </c>
      <c r="B4" s="9" t="inlineStr">
        <is>
          <t>—</t>
        </is>
      </c>
      <c r="C4" s="9" t="inlineStr">
        <is>
          <t>documented</t>
        </is>
      </c>
      <c r="D4" s="9" t="inlineStr">
        <is>
          <t>—</t>
        </is>
      </c>
      <c r="E4" s="9" t="inlineStr">
        <is>
          <t>900-9D3B6-00CC-AA0, 900-9D3B6-00CC-EA0, 900-9D3B6-00CN-AB0, 900-9D3B6-00CN-PA0, 900-9D3B6-00CV-AA0, 900-9D3B6-00SC-AA0, 900-9D3B6-00SC-EA0, 900-9D3B6-00SN-AB0, 900-9D3B6-00SV-AA0, 900-9D3L6-00CN-AA0</t>
        </is>
      </c>
      <c r="F4" s="9" t="inlineStr">
        <is>
          <t>400Gb/s</t>
        </is>
      </c>
      <c r="G4" s="9" t="inlineStr">
        <is>
          <t>QSFP112 400Gb/s; QSFP56 400Gb/s; QSFP28 400Gb/s</t>
        </is>
      </c>
      <c r="H4" s="9" t="inlineStr">
        <is>
          <t>BlueField-3 DPU, 400Gb/s: SDN, storage, cybersecurity, HPC, 5G</t>
        </is>
      </c>
      <c r="I4" s="14" t="inlineStr">
        <is>
          <t>https://networking-docs.nvidia.com/bf3dpu</t>
        </is>
      </c>
    </row>
  </sheetData>
  <autoFilter ref="A1:I4"/>
  <hyperlinks>
    <hyperlink xmlns:r="http://schemas.openxmlformats.org/officeDocument/2006/relationships" ref="I2" display="https://www.nvidia.com/en-eu/data-center/dgx-rubin-nvl8/" r:id="rId1"/>
    <hyperlink xmlns:r="http://schemas.openxmlformats.org/officeDocument/2006/relationships" ref="I3" display="https://www.nvidia.com/en-us/networking/products/data-processing-unit/" r:id="rId2"/>
    <hyperlink xmlns:r="http://schemas.openxmlformats.org/officeDocument/2006/relationships" ref="I4" display="https://networking-docs.nvidia.com/bf3dpu" r:id="rId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9" min="1" max="1"/>
    <col width="10" customWidth="1" style="9" min="2" max="2"/>
    <col width="12" customWidth="1" style="9" min="3" max="4"/>
    <col width="60" customWidth="1" style="9" min="5" max="5"/>
    <col width="40" customWidth="1" style="9" min="6" max="6"/>
    <col width="60" customWidth="1" style="9" min="7" max="8"/>
    <col width="48" customWidth="1" style="9" min="9" max="9"/>
  </cols>
  <sheetData>
    <row r="1" ht="27.75" customHeight="1" s="10">
      <c r="A1" s="13" t="inlineStr">
        <is>
          <t>Model</t>
        </is>
      </c>
      <c r="B1" s="13" t="inlineStr">
        <is>
          <t>Family</t>
        </is>
      </c>
      <c r="C1" s="13" t="inlineStr">
        <is>
          <t>Status</t>
        </is>
      </c>
      <c r="D1" s="13" t="inlineStr">
        <is>
          <t>Legacy OPN</t>
        </is>
      </c>
      <c r="E1" s="13" t="inlineStr">
        <is>
          <t>NVIDIA OPN</t>
        </is>
      </c>
      <c r="F1" s="13" t="inlineStr">
        <is>
          <t>Speed</t>
        </is>
      </c>
      <c r="G1" s="13" t="inlineStr">
        <is>
          <t>Cages / interfaces</t>
        </is>
      </c>
      <c r="H1" s="13" t="inlineStr">
        <is>
          <t>Description</t>
        </is>
      </c>
      <c r="I1" s="13" t="inlineStr">
        <is>
          <t>Link</t>
        </is>
      </c>
    </row>
    <row r="2" ht="15" customHeight="1" s="10">
      <c r="A2" s="9" t="inlineStr">
        <is>
          <t>ConnectX-9 SuperNIC</t>
        </is>
      </c>
      <c r="B2" s="9" t="inlineStr">
        <is>
          <t>—</t>
        </is>
      </c>
      <c r="C2" s="9" t="inlineStr">
        <is>
          <t>documented</t>
        </is>
      </c>
      <c r="D2" s="9" t="inlineStr">
        <is>
          <t>—</t>
        </is>
      </c>
      <c r="E2" s="9" t="inlineStr">
        <is>
          <t>900-9X91E-00EB-ST0, 900-9X91Q-00CN-ST0, 900-9X91E-00EB-DT0, 900-9X91E-00QB-ST0, 900-9X91Q-00RN-ST0, 900-9X91Q-00RV-ST0, 900-9X91Q-00RC-ST0</t>
        </is>
      </c>
      <c r="F2" s="9" t="inlineStr">
        <is>
          <t>up to 1.6 Tb/s per GPU</t>
        </is>
      </c>
      <c r="G2" s="9" t="inlineStr">
        <is>
          <t>1x OSFP 800GbE / XDR 800Gb/s (C9180); 2x QSFP112 2x400GbE / 400Gb/s IB (C9240); 2x QSFP112 400GbE (C9220); 2x QSFP112 200GbE (C9210)</t>
        </is>
      </c>
      <c r="H2" s="9" t="inlineStr">
        <is>
          <t>ConnectX-9 SuperNIC, up to 1.6 Tb/s per GPU: Spectrum-X Ethernet, AI fabrics</t>
        </is>
      </c>
      <c r="I2" s="14" t="inlineStr">
        <is>
          <t>https://networking-docs.nvidia.com/connectx9hw</t>
        </is>
      </c>
    </row>
    <row r="3" ht="15" customHeight="1" s="10">
      <c r="A3" s="9" t="inlineStr">
        <is>
          <t>ConnectX-8 SuperNIC</t>
        </is>
      </c>
      <c r="B3" s="9" t="inlineStr">
        <is>
          <t>—</t>
        </is>
      </c>
      <c r="C3" s="9" t="inlineStr">
        <is>
          <t>documented</t>
        </is>
      </c>
      <c r="D3" s="9" t="inlineStr">
        <is>
          <t>—</t>
        </is>
      </c>
      <c r="E3" s="9" t="inlineStr">
        <is>
          <t>900-9X81E-00EX-ST0, 900-9X81Q-00CN-ST0, 900-9X81E-00EX-DT0, 900-9X81E-00EX-SL0</t>
        </is>
      </c>
      <c r="F3" s="9" t="inlineStr">
        <is>
          <t>up to 800 Gb/s total network bandwidth</t>
        </is>
      </c>
      <c r="G3" s="9" t="inlineStr">
        <is>
          <t>1x OSFP XDR 800Gb/s / 2x400GbE (C8180); 2x QSFP112 400GbE / 400Gb/s IB (C8240); 1x OSFP XDR 800Gb/s / 2x400GbE (C8180L Partner Cooled)</t>
        </is>
      </c>
      <c r="H3" s="9" t="inlineStr">
        <is>
          <t>ConnectX-8 SuperNIC, up to 800 Gb/s total network bandwidth: PCIe Gen6, Spectrum-X Ethernet, AI compute fabrics</t>
        </is>
      </c>
      <c r="I3" s="14" t="inlineStr">
        <is>
          <t>https://networking-docs.nvidia.com/connectx8hw</t>
        </is>
      </c>
    </row>
    <row r="4" ht="15" customHeight="1" s="10">
      <c r="A4" s="9" t="inlineStr">
        <is>
          <t>BlueField-3 SuperNIC</t>
        </is>
      </c>
      <c r="B4" s="9" t="inlineStr">
        <is>
          <t>—</t>
        </is>
      </c>
      <c r="C4" s="9" t="inlineStr">
        <is>
          <t>documented</t>
        </is>
      </c>
      <c r="D4" s="9" t="inlineStr">
        <is>
          <t>—</t>
        </is>
      </c>
      <c r="E4" s="9" t="inlineStr">
        <is>
          <t>900-9D3B4-00CC-EA0, 900-9D3B4-00CV-EA0, 900-9D3B4-00EN-EA0, 900-9D3B4-00PN-EA0, 900-9D3B4-00SC-EA0, 900-9D3B4-00SV-EA0, 900-9D3D4-00EN-HA0, 900-9D3D4-00NN-HA0</t>
        </is>
      </c>
      <c r="F4" s="9" t="inlineStr">
        <is>
          <t>up to 400 Gb/s</t>
        </is>
      </c>
      <c r="G4" s="9" t="inlineStr">
        <is>
          <t>QSFP112 up to 400 Gb/s; QSFP56 up to 400 Gb/s; QSFP28 up to 400 Gb/s</t>
        </is>
      </c>
      <c r="H4" s="9" t="inlineStr">
        <is>
          <t>BlueField-3 SuperNIC, up to 400 Gb/s: Spectrum-X Ethernet, secure cloud multi-tenancy, deterministic isolated performance</t>
        </is>
      </c>
      <c r="I4" s="14" t="inlineStr">
        <is>
          <t>https://networking-docs.nvidia.com/bf3dpu</t>
        </is>
      </c>
    </row>
  </sheetData>
  <autoFilter ref="A1:I4"/>
  <hyperlinks>
    <hyperlink xmlns:r="http://schemas.openxmlformats.org/officeDocument/2006/relationships" ref="I2" display="https://networking-docs.nvidia.com/connectx9hw" r:id="rId1"/>
    <hyperlink xmlns:r="http://schemas.openxmlformats.org/officeDocument/2006/relationships" ref="I3" display="https://networking-docs.nvidia.com/connectx8hw" r:id="rId2"/>
    <hyperlink xmlns:r="http://schemas.openxmlformats.org/officeDocument/2006/relationships" ref="I4" display="https://networking-docs.nvidia.com/bf3dpu" r:id="rId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9" min="1" max="2"/>
    <col width="12" customWidth="1" style="9" min="3" max="4"/>
    <col width="20" customWidth="1" style="9" min="5" max="5"/>
    <col width="27" customWidth="1" style="9" min="6" max="6"/>
    <col width="32" customWidth="1" style="9" min="7" max="7"/>
    <col width="60" customWidth="1" style="9" min="8" max="8"/>
    <col width="48" customWidth="1" style="9" min="9" max="9"/>
  </cols>
  <sheetData>
    <row r="1" ht="27.75" customHeight="1" s="10">
      <c r="A1" s="13" t="inlineStr">
        <is>
          <t>Model</t>
        </is>
      </c>
      <c r="B1" s="13" t="inlineStr">
        <is>
          <t>Family</t>
        </is>
      </c>
      <c r="C1" s="13" t="inlineStr">
        <is>
          <t>Status</t>
        </is>
      </c>
      <c r="D1" s="13" t="inlineStr">
        <is>
          <t>Legacy OPN</t>
        </is>
      </c>
      <c r="E1" s="13" t="inlineStr">
        <is>
          <t>NVIDIA OPN</t>
        </is>
      </c>
      <c r="F1" s="13" t="inlineStr">
        <is>
          <t>Speed</t>
        </is>
      </c>
      <c r="G1" s="13" t="inlineStr">
        <is>
          <t>Interface</t>
        </is>
      </c>
      <c r="H1" s="13" t="inlineStr">
        <is>
          <t>Cages / interfaces</t>
        </is>
      </c>
      <c r="I1" s="13" t="inlineStr">
        <is>
          <t>Link</t>
        </is>
      </c>
    </row>
    <row r="2" ht="15" customHeight="1" s="10">
      <c r="A2" s="9" t="inlineStr">
        <is>
          <t>C9180</t>
        </is>
      </c>
      <c r="B2" s="9" t="inlineStr">
        <is>
          <t>ConnectX-9</t>
        </is>
      </c>
      <c r="C2" s="9" t="inlineStr">
        <is>
          <t>MP</t>
        </is>
      </c>
      <c r="D2" s="9" t="inlineStr">
        <is>
          <t>—</t>
        </is>
      </c>
      <c r="E2" s="9" t="inlineStr">
        <is>
          <t>900-9X91E-00EB-ST0, 900-9X91E-00EB-DT0, 900-9X91E-00QB-ST0</t>
        </is>
      </c>
      <c r="F2" s="9" t="inlineStr">
        <is>
          <t>800GbE / XDR 800Gb/s</t>
        </is>
      </c>
      <c r="G2" s="9" t="inlineStr">
        <is>
          <t>single-cage OSFP</t>
        </is>
      </c>
      <c r="H2" s="9" t="inlineStr">
        <is>
          <t>1x OSFP 800GbE / XDR 800Gb/s (C9180)</t>
        </is>
      </c>
      <c r="I2" s="14" t="inlineStr">
        <is>
          <t>https://networking-docs.nvidia.com/connectx9hw</t>
        </is>
      </c>
    </row>
    <row r="3" ht="15" customHeight="1" s="10">
      <c r="A3" s="9" t="inlineStr">
        <is>
          <t>C9240</t>
        </is>
      </c>
      <c r="B3" s="9" t="inlineStr">
        <is>
          <t>ConnectX-9</t>
        </is>
      </c>
      <c r="C3" s="9" t="inlineStr">
        <is>
          <t>MP</t>
        </is>
      </c>
      <c r="D3" s="9" t="inlineStr">
        <is>
          <t>—</t>
        </is>
      </c>
      <c r="E3" s="9" t="inlineStr">
        <is>
          <t>900-9X91Q-00CN-ST0, 900-9X91Q-00RN-ST0</t>
        </is>
      </c>
      <c r="F3" s="9" t="inlineStr">
        <is>
          <t>2x400GbE / 400Gb/s IB</t>
        </is>
      </c>
      <c r="G3" s="9" t="inlineStr">
        <is>
          <t>dual QSFP112</t>
        </is>
      </c>
      <c r="H3" s="9" t="inlineStr">
        <is>
          <t>2x QSFP112 2x400GbE / 400Gb/s IB (C9240)</t>
        </is>
      </c>
      <c r="I3" s="14" t="inlineStr">
        <is>
          <t>https://networking-docs.nvidia.com/connectx9hw</t>
        </is>
      </c>
    </row>
    <row r="4" ht="15" customHeight="1" s="10">
      <c r="A4" s="9" t="inlineStr">
        <is>
          <t>C8180</t>
        </is>
      </c>
      <c r="B4" s="9" t="inlineStr">
        <is>
          <t>ConnectX-8</t>
        </is>
      </c>
      <c r="C4" s="9" t="inlineStr">
        <is>
          <t>MP</t>
        </is>
      </c>
      <c r="D4" s="9" t="inlineStr">
        <is>
          <t>—</t>
        </is>
      </c>
      <c r="E4" s="9" t="inlineStr">
        <is>
          <t>900-9X81E-00EX-ST0, 900-9X81E-00EX-DT0</t>
        </is>
      </c>
      <c r="F4" s="9" t="inlineStr">
        <is>
          <t>XDR 800Gb/s / 2x400GbE</t>
        </is>
      </c>
      <c r="G4" s="9" t="inlineStr">
        <is>
          <t>single-cage OSFP</t>
        </is>
      </c>
      <c r="H4" s="9" t="inlineStr">
        <is>
          <t>1x OSFP XDR 800Gb/s / 2x400GbE (C8180)</t>
        </is>
      </c>
      <c r="I4" s="14" t="inlineStr">
        <is>
          <t>https://networking-docs.nvidia.com/connectx8hw</t>
        </is>
      </c>
    </row>
    <row r="5" ht="15" customHeight="1" s="10">
      <c r="A5" s="9" t="inlineStr">
        <is>
          <t>C8240</t>
        </is>
      </c>
      <c r="B5" s="9" t="inlineStr">
        <is>
          <t>ConnectX-8</t>
        </is>
      </c>
      <c r="C5" s="9" t="inlineStr">
        <is>
          <t>active</t>
        </is>
      </c>
      <c r="D5" s="9" t="inlineStr">
        <is>
          <t>—</t>
        </is>
      </c>
      <c r="E5" s="9" t="inlineStr">
        <is>
          <t>900-9X81Q-00CN-ST0</t>
        </is>
      </c>
      <c r="F5" s="9" t="inlineStr">
        <is>
          <t>400GbE / 400Gb/s IB</t>
        </is>
      </c>
      <c r="G5" s="9" t="inlineStr">
        <is>
          <t>dual QSFP112</t>
        </is>
      </c>
      <c r="H5" s="9" t="inlineStr">
        <is>
          <t>2x QSFP112 400GbE / 400Gb/s IB (C8240)</t>
        </is>
      </c>
      <c r="I5" s="14" t="inlineStr">
        <is>
          <t>https://networking-docs.nvidia.com/connectx8hw</t>
        </is>
      </c>
    </row>
    <row r="6" ht="15" customHeight="1" s="10">
      <c r="A6" s="9" t="inlineStr">
        <is>
          <t>ConnectX-7</t>
        </is>
      </c>
      <c r="B6" s="9" t="inlineStr">
        <is>
          <t>ConnectX-7</t>
        </is>
      </c>
      <c r="C6" s="9" t="inlineStr">
        <is>
          <t>documented</t>
        </is>
      </c>
      <c r="D6" s="9" t="inlineStr">
        <is>
          <t>MCX713104AC-ADAT, MCX713104AS-ADAT, MCX713105AS-WEAT, MCX713106AC-CEAT, MCX713106AC-VEAT, MCX713106AS-CEAT, MCX713106AS-VEAT, MCX713114GC-GEAT, MCX713114TC-GEAT, MCX715105AS-WEAT, MCX75310AAC-NEAT, MCX75310AAS-HEAT, MCX75310AAS-NEAT, MCX755106AC-HEAT, MCX755106AS-HEAT, MCX75510AAS-HEAT, MCX75510AAS-NEAT</t>
        </is>
      </c>
      <c r="E6" s="9" t="inlineStr">
        <is>
          <t>900-9X721-003N-DT0, 900-9X721-003N-DT1, 900-9X766-003N-SQ0, 900-9X766-003N-SR0, 900-9X766-003N-ST0, 900-9X7AH-0039-ST1, 900-9X7AH-0039-STZ, 900-9X7AH-004N-CT0, 900-9X7AH-004N-GT0, 900-9X7AH-0076-ST0, 900-9X7AH-0078-DTZ, 900-9X7AH-0078-ST0, 900-9X7AH-0079-DTZ, 900-9X7AH-0086-SQ0, 900-9X7AH-0088-ST0, 900-9X7AO-0003-ST0, 900-9X7AO-00C3-STZ</t>
        </is>
      </c>
      <c r="F6" s="9" t="inlineStr">
        <is>
          <t>up to 400Gb/s IB/Ethernet</t>
        </is>
      </c>
      <c r="G6" s="9" t="inlineStr">
        <is>
          <t>OSFP / QSFP112 by SKU</t>
        </is>
      </c>
      <c r="H6" s="9" t="inlineStr">
        <is>
          <t>OSFP up to 400Gb/s IB/Ethernet (ConnectX-7); QSFP112 up to 400Gb/s IB/Ethernet (ConnectX-7)</t>
        </is>
      </c>
      <c r="I6" s="14" t="inlineStr">
        <is>
          <t>https://networking-docs.nvidia.com/connectx7hw</t>
        </is>
      </c>
    </row>
    <row r="7" ht="15" customHeight="1" s="10">
      <c r="A7" s="9" t="inlineStr">
        <is>
          <t>ConnectX-6</t>
        </is>
      </c>
      <c r="B7" s="9" t="inlineStr">
        <is>
          <t>ConnectX-6</t>
        </is>
      </c>
      <c r="C7" s="9" t="inlineStr">
        <is>
          <t>documented</t>
        </is>
      </c>
      <c r="D7" s="9" t="inlineStr">
        <is>
          <t>—</t>
        </is>
      </c>
      <c r="E7" s="9" t="inlineStr">
        <is>
          <t>—</t>
        </is>
      </c>
      <c r="F7" s="9" t="inlineStr">
        <is>
          <t>up to 200Gb/s IB/Ethernet</t>
        </is>
      </c>
      <c r="G7" s="9" t="inlineStr">
        <is>
          <t>QSFP56 / QSFP28 by SKU</t>
        </is>
      </c>
      <c r="H7" s="9" t="inlineStr">
        <is>
          <t>QSFP56 up to 200Gb/s IB/Ethernet (ConnectX-6); QSFP28 up to 200Gb/s IB/Ethernet (ConnectX-6)</t>
        </is>
      </c>
      <c r="I7" s="14" t="inlineStr">
        <is>
          <t>https://networking-docs.nvidia.com/adapters</t>
        </is>
      </c>
    </row>
    <row r="8" ht="15" customHeight="1" s="10">
      <c r="A8" s="9" t="inlineStr">
        <is>
          <t>ConnectX-6 Dx</t>
        </is>
      </c>
      <c r="B8" s="9" t="inlineStr">
        <is>
          <t>ConnectX-6 Dx</t>
        </is>
      </c>
      <c r="C8" s="9" t="inlineStr">
        <is>
          <t>documented</t>
        </is>
      </c>
      <c r="D8" s="9" t="inlineStr">
        <is>
          <t>—</t>
        </is>
      </c>
      <c r="E8" s="9" t="inlineStr">
        <is>
          <t>—</t>
        </is>
      </c>
      <c r="F8" s="9" t="inlineStr">
        <is>
          <t>up to 200GbE</t>
        </is>
      </c>
      <c r="G8" s="9" t="inlineStr">
        <is>
          <t>QSFP56 / QSFP28 / SFP56 by SKU</t>
        </is>
      </c>
      <c r="H8" s="9" t="inlineStr">
        <is>
          <t>QSFP56 up to 200GbE (ConnectX-6 Dx); QSFP28 up to 200GbE (ConnectX-6 Dx); SFP56 up to 200GbE (ConnectX-6 Dx)</t>
        </is>
      </c>
      <c r="I8" s="14" t="inlineStr">
        <is>
          <t>https://networking-docs.nvidia.com/adapters</t>
        </is>
      </c>
    </row>
    <row r="9" ht="15" customHeight="1" s="10">
      <c r="A9" s="9" t="inlineStr">
        <is>
          <t>ConnectX-6 Lx</t>
        </is>
      </c>
      <c r="B9" s="9" t="inlineStr">
        <is>
          <t>ConnectX-6 Lx</t>
        </is>
      </c>
      <c r="C9" s="9" t="inlineStr">
        <is>
          <t>documented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up to 50GbE</t>
        </is>
      </c>
      <c r="G9" s="9" t="inlineStr">
        <is>
          <t>SFP56 / SFP28 by SKU</t>
        </is>
      </c>
      <c r="H9" s="9" t="inlineStr">
        <is>
          <t>SFP56 up to 50GbE (ConnectX-6 Lx); SFP28 up to 50GbE (ConnectX-6 Lx)</t>
        </is>
      </c>
      <c r="I9" s="14" t="inlineStr">
        <is>
          <t>https://networking-docs.nvidia.com/adapters</t>
        </is>
      </c>
    </row>
    <row r="1048576" ht="12.75" customHeight="1" s="10"/>
  </sheetData>
  <autoFilter ref="A1:I9"/>
  <hyperlinks>
    <hyperlink xmlns:r="http://schemas.openxmlformats.org/officeDocument/2006/relationships" ref="I2" display="https://networking-docs.nvidia.com/connectx9hw" r:id="rId1"/>
    <hyperlink xmlns:r="http://schemas.openxmlformats.org/officeDocument/2006/relationships" ref="I3" display="https://networking-docs.nvidia.com/connectx9hw" r:id="rId2"/>
    <hyperlink xmlns:r="http://schemas.openxmlformats.org/officeDocument/2006/relationships" ref="I4" display="https://networking-docs.nvidia.com/connectx8hw" r:id="rId3"/>
    <hyperlink xmlns:r="http://schemas.openxmlformats.org/officeDocument/2006/relationships" ref="I5" display="https://networking-docs.nvidia.com/connectx8hw" r:id="rId4"/>
    <hyperlink xmlns:r="http://schemas.openxmlformats.org/officeDocument/2006/relationships" ref="I6" display="https://networking-docs.nvidia.com/connectx7hw" r:id="rId5"/>
    <hyperlink xmlns:r="http://schemas.openxmlformats.org/officeDocument/2006/relationships" ref="I7" display="https://networking-docs.nvidia.com/adapters" r:id="rId6"/>
    <hyperlink xmlns:r="http://schemas.openxmlformats.org/officeDocument/2006/relationships" ref="I8" display="https://networking-docs.nvidia.com/adapters" r:id="rId7"/>
    <hyperlink xmlns:r="http://schemas.openxmlformats.org/officeDocument/2006/relationships" ref="I9" display="https://networking-docs.nvidia.com/adapters" r:id="rId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9" customWidth="1" style="9" min="1" max="1"/>
    <col width="28" customWidth="1" style="9" min="2" max="2"/>
    <col width="12" customWidth="1" style="9" min="3" max="3"/>
    <col width="33" customWidth="1" style="9" min="4" max="4"/>
    <col width="40" customWidth="1" style="9" min="5" max="5"/>
    <col width="46" customWidth="1" style="9" min="6" max="6"/>
    <col width="60" customWidth="1" style="9" min="7" max="8"/>
  </cols>
  <sheetData>
    <row r="1" ht="15" customHeight="1" s="10">
      <c r="A1" s="13" t="inlineStr">
        <is>
          <t>Model</t>
        </is>
      </c>
      <c r="B1" s="13" t="inlineStr">
        <is>
          <t>Family</t>
        </is>
      </c>
      <c r="C1" s="13" t="inlineStr">
        <is>
          <t>Status</t>
        </is>
      </c>
      <c r="D1" s="13" t="inlineStr">
        <is>
          <t>Legacy OPN</t>
        </is>
      </c>
      <c r="E1" s="13" t="inlineStr">
        <is>
          <t>NVIDIA OPN</t>
        </is>
      </c>
      <c r="F1" s="13" t="inlineStr">
        <is>
          <t>Network interface</t>
        </is>
      </c>
      <c r="G1" s="13" t="inlineStr">
        <is>
          <t>Description</t>
        </is>
      </c>
      <c r="H1" s="13" t="inlineStr">
        <is>
          <t>Link</t>
        </is>
      </c>
    </row>
    <row r="2" ht="15" customHeight="1" s="10">
      <c r="A2" s="9" t="inlineStr">
        <is>
          <t>UFM XDR Appliance</t>
        </is>
      </c>
      <c r="B2" s="9" t="inlineStr">
        <is>
          <t>UFM Enterprise Gen 3.5</t>
        </is>
      </c>
      <c r="C2" s="9" t="inlineStr">
        <is>
          <t>documented</t>
        </is>
      </c>
      <c r="D2" s="9" t="inlineStr">
        <is>
          <t>—</t>
        </is>
      </c>
      <c r="E2" s="9" t="inlineStr">
        <is>
          <t>—</t>
        </is>
      </c>
      <c r="F2" s="9" t="inlineStr">
        <is>
          <t>XDR InfiniBand</t>
        </is>
      </c>
      <c r="G2" s="9" t="inlineStr">
        <is>
          <t>UFM Enterprise Gen 3.5 UFM appliance, XDR InfiniBand</t>
        </is>
      </c>
      <c r="H2" s="14" t="inlineStr">
        <is>
          <t>https://networking-docs.nvidia.com/software/management-software/ufm-appliances</t>
        </is>
      </c>
    </row>
    <row r="3" ht="15" customHeight="1" s="10">
      <c r="A3" s="9" t="inlineStr">
        <is>
          <t>MUA970D</t>
        </is>
      </c>
      <c r="B3" s="9" t="inlineStr">
        <is>
          <t>UFM XDR-DC Gen 3.5</t>
        </is>
      </c>
      <c r="C3" s="9" t="inlineStr">
        <is>
          <t>active</t>
        </is>
      </c>
      <c r="D3" s="9" t="inlineStr">
        <is>
          <t>MUA9702H-2SFS-DC</t>
        </is>
      </c>
      <c r="E3" s="9" t="inlineStr">
        <is>
          <t>920-9B020-10RI-0D0</t>
        </is>
      </c>
      <c r="F3" s="9" t="inlineStr">
        <is>
          <t>ConnectX-8 400Gb/s InfiniBand</t>
        </is>
      </c>
      <c r="G3" s="9" t="inlineStr">
        <is>
          <t>UFM XDR-DC Gen 3.5 UFM appliance, ConnectX-8 400Gb/s InfiniBand</t>
        </is>
      </c>
      <c r="H3" s="14" t="inlineStr">
        <is>
          <t>https://networking-docs.nvidia.com/ufmenterprisexdrdchw/</t>
        </is>
      </c>
    </row>
    <row r="4" ht="15" customHeight="1" s="10">
      <c r="A4" s="9" t="inlineStr">
        <is>
          <t>MUA9652H-2SF</t>
        </is>
      </c>
      <c r="B4" s="9" t="inlineStr">
        <is>
          <t>UFM Cyber-AI 4.0</t>
        </is>
      </c>
      <c r="C4" s="9" t="inlineStr">
        <is>
          <t>documented</t>
        </is>
      </c>
      <c r="D4" s="9" t="inlineStr">
        <is>
          <t>MUA9652H-2SF</t>
        </is>
      </c>
      <c r="E4" s="9" t="inlineStr">
        <is>
          <t>920-9B020-00FH-0D0</t>
        </is>
      </c>
      <c r="F4" s="9" t="inlineStr">
        <is>
          <t>2x ConnectX-6 HDR 200Gb/s InfiniBand</t>
        </is>
      </c>
      <c r="G4" s="9" t="inlineStr">
        <is>
          <t>UFM Cyber-AI 4.0 UFM appliance, 2x ConnectX-6 HDR 200Gb/s InfiniBand</t>
        </is>
      </c>
      <c r="H4" s="14" t="inlineStr">
        <is>
          <t>https://networking-docs.nvidia.com/ufm40cyberaiapphw</t>
        </is>
      </c>
    </row>
    <row r="5" ht="15" customHeight="1" s="10">
      <c r="A5" s="9" t="inlineStr">
        <is>
          <t>MUA960</t>
        </is>
      </c>
      <c r="B5" s="9" t="inlineStr">
        <is>
          <t>UFM Enterprise Gen 3.0 HDR</t>
        </is>
      </c>
      <c r="C5" s="9" t="inlineStr">
        <is>
          <t>documented</t>
        </is>
      </c>
      <c r="D5" s="9" t="inlineStr">
        <is>
          <t>MUA9602H-2SR</t>
        </is>
      </c>
      <c r="E5" s="9" t="inlineStr">
        <is>
          <t>920-9B020-00FA-0D3</t>
        </is>
      </c>
      <c r="F5" s="9" t="inlineStr">
        <is>
          <t>HDR InfiniBand</t>
        </is>
      </c>
      <c r="G5" s="9" t="inlineStr">
        <is>
          <t>UFM Enterprise Gen 3.0 HDR UFM appliance, HDR InfiniBand</t>
        </is>
      </c>
      <c r="H5" s="14" t="inlineStr">
        <is>
          <t>https://networking-docs.nvidia.com/ufmenterprisehdrhwum</t>
        </is>
      </c>
    </row>
    <row r="6" ht="15" customHeight="1" s="10">
      <c r="A6" s="9" t="inlineStr">
        <is>
          <t>MUA960B</t>
        </is>
      </c>
      <c r="B6" s="9" t="inlineStr">
        <is>
          <t>UFM Enterprise Gen 3.0 NDR</t>
        </is>
      </c>
      <c r="C6" s="9" t="inlineStr">
        <is>
          <t>documented</t>
        </is>
      </c>
      <c r="D6" s="9" t="inlineStr">
        <is>
          <t>MUA9602H-2SRS</t>
        </is>
      </c>
      <c r="E6" s="9" t="inlineStr">
        <is>
          <t>920-9B020-00RA-0D0</t>
        </is>
      </c>
      <c r="F6" s="9" t="inlineStr">
        <is>
          <t>NDR InfiniBand</t>
        </is>
      </c>
      <c r="G6" s="9" t="inlineStr">
        <is>
          <t>UFM Enterprise Gen 3.0 NDR UFM appliance, NDR InfiniBand</t>
        </is>
      </c>
      <c r="H6" s="14" t="inlineStr">
        <is>
          <t>https://networking-docs.nvidia.com/ufmenterprisendrhwum</t>
        </is>
      </c>
    </row>
    <row r="7" ht="15" customHeight="1" s="10">
      <c r="A7" s="9" t="inlineStr">
        <is>
          <t>MUA950</t>
        </is>
      </c>
      <c r="B7" s="9" t="inlineStr">
        <is>
          <t>UFM-SDN 2.5</t>
        </is>
      </c>
      <c r="C7" s="9" t="inlineStr">
        <is>
          <t>documented</t>
        </is>
      </c>
      <c r="D7" s="9" t="inlineStr">
        <is>
          <t>MUA9502H-2SF / MUA9502H-2SF-40K</t>
        </is>
      </c>
      <c r="E7" s="9" t="inlineStr">
        <is>
          <t>920-9B020-00FA-0D5, 920-9B020-09FA-0D0</t>
        </is>
      </c>
      <c r="F7" s="9" t="inlineStr">
        <is>
          <t>InfiniBand</t>
        </is>
      </c>
      <c r="G7" s="9" t="inlineStr">
        <is>
          <t>UFM-SDN 2.5 UFM appliance, InfiniBand</t>
        </is>
      </c>
      <c r="H7" s="14" t="inlineStr">
        <is>
          <t>https://networking-docs.nvidia.com/ufmsdn25apphw</t>
        </is>
      </c>
    </row>
    <row r="8" ht="15" customHeight="1" s="10">
      <c r="A8" s="9" t="inlineStr">
        <is>
          <t>MUA975</t>
        </is>
      </c>
      <c r="B8" s="9" t="inlineStr">
        <is>
          <t>UFM Cyber-AI Gen 4.5</t>
        </is>
      </c>
      <c r="C8" s="9" t="inlineStr">
        <is>
          <t>documented</t>
        </is>
      </c>
      <c r="D8" s="9" t="inlineStr">
        <is>
          <t>MUA9752H-2SFS-AC</t>
        </is>
      </c>
      <c r="E8" s="9" t="inlineStr">
        <is>
          <t>920-9B020-00RI-0D5</t>
        </is>
      </c>
      <c r="F8" s="9" t="inlineStr">
        <is>
          <t>2x ConnectX-8 single-port 400Gb/s InfiniBand</t>
        </is>
      </c>
      <c r="G8" s="9" t="inlineStr">
        <is>
          <t>UFM Cyber-AI Gen 4.5 UFM appliance, 2x ConnectX-8 single-port 400Gb/s InfiniBand</t>
        </is>
      </c>
      <c r="H8" s="14" t="inlineStr">
        <is>
          <t>https://networking-docs.nvidia.com/ufm45cyberaiapphw</t>
        </is>
      </c>
    </row>
  </sheetData>
  <autoFilter ref="A1:H8"/>
  <hyperlinks>
    <hyperlink xmlns:r="http://schemas.openxmlformats.org/officeDocument/2006/relationships" ref="H2" display="https://networking-docs.nvidia.com/software/management-software/ufm-appliances" r:id="rId1"/>
    <hyperlink xmlns:r="http://schemas.openxmlformats.org/officeDocument/2006/relationships" ref="H3" display="https://networking-docs.nvidia.com/ufmenterprisexdrdchw/" r:id="rId2"/>
    <hyperlink xmlns:r="http://schemas.openxmlformats.org/officeDocument/2006/relationships" ref="H4" display="https://networking-docs.nvidia.com/ufm40cyberaiapphw" r:id="rId3"/>
    <hyperlink xmlns:r="http://schemas.openxmlformats.org/officeDocument/2006/relationships" ref="H5" display="https://networking-docs.nvidia.com/ufmenterprisehdrhwum" r:id="rId4"/>
    <hyperlink xmlns:r="http://schemas.openxmlformats.org/officeDocument/2006/relationships" ref="H6" display="https://networking-docs.nvidia.com/ufmenterprisendrhwum" r:id="rId5"/>
    <hyperlink xmlns:r="http://schemas.openxmlformats.org/officeDocument/2006/relationships" ref="H7" display="https://networking-docs.nvidia.com/ufmsdn25apphw" r:id="rId6"/>
    <hyperlink xmlns:r="http://schemas.openxmlformats.org/officeDocument/2006/relationships" ref="H8" display="https://networking-docs.nvidia.com/ufm45cyberaiapphw" r:id="rId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9" min="1" max="2"/>
    <col width="10" customWidth="1" style="9" min="3" max="3"/>
    <col width="40" customWidth="1" style="9" min="4" max="4"/>
    <col width="13" customWidth="1" style="9" min="5" max="5"/>
    <col width="48" customWidth="1" style="9" min="6" max="6"/>
  </cols>
  <sheetData>
    <row r="1" ht="15" customHeight="1" s="10">
      <c r="A1" s="13" t="inlineStr">
        <is>
          <t>Model</t>
        </is>
      </c>
      <c r="B1" s="13" t="inlineStr">
        <is>
          <t>Family</t>
        </is>
      </c>
      <c r="C1" s="13" t="inlineStr">
        <is>
          <t>Status</t>
        </is>
      </c>
      <c r="D1" s="13" t="inlineStr">
        <is>
          <t>Speed</t>
        </is>
      </c>
      <c r="E1" s="13" t="inlineStr">
        <is>
          <t>Interface</t>
        </is>
      </c>
      <c r="F1" s="13" t="inlineStr">
        <is>
          <t>Link</t>
        </is>
      </c>
    </row>
    <row r="2" ht="15" customHeight="1" s="10">
      <c r="A2" s="9" t="inlineStr">
        <is>
          <t>MCX516A-CCAT</t>
        </is>
      </c>
      <c r="B2" s="9" t="inlineStr">
        <is>
          <t>ConnectX-5</t>
        </is>
      </c>
      <c r="C2" s="9" t="inlineStr">
        <is>
          <t>legacy</t>
        </is>
      </c>
      <c r="D2" s="9" t="inlineStr">
        <is>
          <t>up to 100GbE per port / EDR InfiniBand</t>
        </is>
      </c>
      <c r="E2" s="9" t="inlineStr">
        <is>
          <t>dual QSFP28</t>
        </is>
      </c>
      <c r="F2" s="14" t="inlineStr">
        <is>
          <t>https://networking-docs.nvidia.com/connectx5en</t>
        </is>
      </c>
    </row>
    <row r="3" ht="15" customHeight="1" s="10">
      <c r="A3" s="9" t="inlineStr">
        <is>
          <t>MCX455A-ECAT</t>
        </is>
      </c>
      <c r="B3" s="9" t="inlineStr">
        <is>
          <t>ConnectX-4</t>
        </is>
      </c>
      <c r="C3" s="9" t="inlineStr">
        <is>
          <t>legacy</t>
        </is>
      </c>
      <c r="D3" s="9" t="inlineStr">
        <is>
          <t>100GbE / EDR InfiniBand class</t>
        </is>
      </c>
      <c r="E3" s="9" t="inlineStr">
        <is>
          <t>QSFP28</t>
        </is>
      </c>
      <c r="F3" s="14" t="inlineStr">
        <is>
          <t>https://networking-docs.nvidia.com/connectx4</t>
        </is>
      </c>
    </row>
    <row r="4" ht="15" customHeight="1" s="10">
      <c r="A4" s="9" t="inlineStr">
        <is>
          <t>MCX4121A-ACAT</t>
        </is>
      </c>
      <c r="B4" s="9" t="inlineStr">
        <is>
          <t>ConnectX-4 Lx</t>
        </is>
      </c>
      <c r="C4" s="9" t="inlineStr">
        <is>
          <t>legacy</t>
        </is>
      </c>
      <c r="D4" s="9" t="inlineStr">
        <is>
          <t>up to 25GbE per port</t>
        </is>
      </c>
      <c r="E4" s="9" t="inlineStr">
        <is>
          <t>dual SFP28</t>
        </is>
      </c>
      <c r="F4" s="14" t="inlineStr">
        <is>
          <t>https://networking-docs.nvidia.com/connectx4lx</t>
        </is>
      </c>
    </row>
  </sheetData>
  <autoFilter ref="A1:F4"/>
  <hyperlinks>
    <hyperlink xmlns:r="http://schemas.openxmlformats.org/officeDocument/2006/relationships" ref="F2" display="https://networking-docs.nvidia.com/connectx5en" r:id="rId1"/>
    <hyperlink xmlns:r="http://schemas.openxmlformats.org/officeDocument/2006/relationships" ref="F3" display="https://networking-docs.nvidia.com/connectx4" r:id="rId2"/>
    <hyperlink xmlns:r="http://schemas.openxmlformats.org/officeDocument/2006/relationships" ref="F4" display="https://networking-docs.nvidia.com/connectx4lx" r:id="rId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2026-10-20T10:28:57Z</dcterms:created>
  <dcterms:modified xmlns:dcterms="http://purl.org/dc/terms/" xmlns:xsi="http://www.w3.org/2001/XMLSchema-instance" xsi:type="dcterms:W3CDTF">2026-10-26T06:50:05Z</dcterms:modified>
  <cp:revision>3</cp:revision>
</cp:coreProperties>
</file>
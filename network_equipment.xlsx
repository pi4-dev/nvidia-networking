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products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Transceivers" sheetId="4" state="visible" r:id="rId4"/>
    <sheet xmlns:r="http://schemas.openxmlformats.org/officeDocument/2006/relationships" name="AOC" sheetId="5" state="visible" r:id="rId5"/>
    <sheet xmlns:r="http://schemas.openxmlformats.org/officeDocument/2006/relationships" name="Copper - DAC - ACC" sheetId="6" state="visible" r:id="rId6"/>
    <sheet xmlns:r="http://schemas.openxmlformats.org/officeDocument/2006/relationships" name="Other active LinkX products" sheetId="7" state="visible" r:id="rId7"/>
    <sheet xmlns:r="http://schemas.openxmlformats.org/officeDocument/2006/relationships" name="Ethernet switching" sheetId="8" state="visible" r:id="rId8"/>
    <sheet xmlns:r="http://schemas.openxmlformats.org/officeDocument/2006/relationships" name="InfiniBand switching - applianc" sheetId="9" state="visible" r:id="rId9"/>
    <sheet xmlns:r="http://schemas.openxmlformats.org/officeDocument/2006/relationships" name="Silicon Photonics" sheetId="10" state="visible" r:id="rId10"/>
    <sheet xmlns:r="http://schemas.openxmlformats.org/officeDocument/2006/relationships" name="DPU" sheetId="11" state="visible" r:id="rId11"/>
    <sheet xmlns:r="http://schemas.openxmlformats.org/officeDocument/2006/relationships" name="SuperNIC" sheetId="12" state="visible" r:id="rId12"/>
    <sheet xmlns:r="http://schemas.openxmlformats.org/officeDocument/2006/relationships" name="Network adapters" sheetId="13" state="visible" r:id="rId13"/>
    <sheet xmlns:r="http://schemas.openxmlformats.org/officeDocument/2006/relationships" name="UFM appliances" sheetId="14" state="visible" r:id="rId14"/>
    <sheet xmlns:r="http://schemas.openxmlformats.org/officeDocument/2006/relationships" name="Legacy network adapters" sheetId="15" state="visible" r:id="rId15"/>
  </sheets>
  <definedNames>
    <definedName name="_xlnm._FilterDatabase" localSheetId="1" hidden="1">'All products'!$A$1:$O$109</definedName>
    <definedName name="_xlnm._FilterDatabase" localSheetId="3" hidden="1">'Transceivers'!$A$1:$M$35</definedName>
    <definedName name="_xlnm._FilterDatabase" localSheetId="4" hidden="1">'AOC'!$A$1:$M$4</definedName>
    <definedName name="_xlnm._FilterDatabase" localSheetId="5" hidden="1">'Copper - DAC - ACC'!$A$1:$M$12</definedName>
    <definedName name="_xlnm._FilterDatabase" localSheetId="6" hidden="1">'Other active LinkX products'!$A$1:$H$8</definedName>
    <definedName name="_xlnm._FilterDatabase" localSheetId="7" hidden="1">'Ethernet switching'!$A$1:$I$16</definedName>
    <definedName name="_xlnm._FilterDatabase" localSheetId="8" hidden="1">'InfiniBand switching - applianc'!$A$1:$I$12</definedName>
    <definedName name="_xlnm._FilterDatabase" localSheetId="9" hidden="1">'Silicon Photonics'!$A$1:$I$3</definedName>
    <definedName name="_xlnm._FilterDatabase" localSheetId="10" hidden="1">'DPU'!$A$1:$I$4</definedName>
    <definedName name="_xlnm._FilterDatabase" localSheetId="11" hidden="1">'SuperNIC'!$A$1:$I$4</definedName>
    <definedName name="_xlnm._FilterDatabase" localSheetId="12" hidden="1">'Network adapters'!$A$1:$I$10</definedName>
    <definedName name="_xlnm._FilterDatabase" localSheetId="13" hidden="1">'UFM appliances'!$A$1:$H$8</definedName>
    <definedName name="_xlnm._FilterDatabase" localSheetId="14" hidden="1">'Legacy network adapters'!$A$1:$F$4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76B9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tworking-docs.nvidia.com/mms4b10xmtro1600g" TargetMode="External" Id="rId1"/><Relationship Type="http://schemas.openxmlformats.org/officeDocument/2006/relationships/hyperlink" Target="https://networking-docs.nvidia.com/mms4b10xmtro1600g" TargetMode="External" Id="rId2"/><Relationship Type="http://schemas.openxmlformats.org/officeDocument/2006/relationships/hyperlink" Target="https://networking-docs.nvidia.com/9iau000xmosfptcvr1600" TargetMode="External" Id="rId3"/><Relationship Type="http://schemas.openxmlformats.org/officeDocument/2006/relationships/hyperlink" Target="https://networking-docs.nvidia.com/9iau000xmosfptcvr1600" TargetMode="External" Id="rId4"/><Relationship Type="http://schemas.openxmlformats.org/officeDocument/2006/relationships/hyperlink" Target="https://networking-docs.nvidia.com/9iau000xmosfptcvr1600" TargetMode="External" Id="rId5"/><Relationship Type="http://schemas.openxmlformats.org/officeDocument/2006/relationships/hyperlink" Target="https://networking-docs.nvidia.com/9iau000xmosfptcvr1600" TargetMode="External" Id="rId6"/><Relationship Type="http://schemas.openxmlformats.org/officeDocument/2006/relationships/hyperlink" Target="https://networking-docs.nvidia.com/9iahx00xmosfptcvr1600" TargetMode="External" Id="rId7"/><Relationship Type="http://schemas.openxmlformats.org/officeDocument/2006/relationships/hyperlink" Target="https://networking-docs.nvidia.com/9iahx00xmosfptcvr1600" TargetMode="External" Id="rId8"/><Relationship Type="http://schemas.openxmlformats.org/officeDocument/2006/relationships/hyperlink" Target="https://networking-docs.nvidia.com/mms4a501600gosfp" TargetMode="External" Id="rId9"/><Relationship Type="http://schemas.openxmlformats.org/officeDocument/2006/relationships/hyperlink" Target="https://networking-docs.nvidia.com/mms4a501600gosfp" TargetMode="External" Id="rId10"/><Relationship Type="http://schemas.openxmlformats.org/officeDocument/2006/relationships/hyperlink" Target="https://networking-docs.nvidia.com/mms1z00ns400sr4" TargetMode="External" Id="rId11"/><Relationship Type="http://schemas.openxmlformats.org/officeDocument/2006/relationships/hyperlink" Target="https://networking-docs.nvidia.com/mms1v00wm10" TargetMode="External" Id="rId12"/><Relationship Type="http://schemas.openxmlformats.org/officeDocument/2006/relationships/hyperlink" Target="https://networking-docs.nvidia.com/mms4x00ns400" TargetMode="External" Id="rId13"/><Relationship Type="http://schemas.openxmlformats.org/officeDocument/2006/relationships/hyperlink" Target="https://networking-docs.nvidia.com/mma4z00ns400" TargetMode="External" Id="rId14"/><Relationship Type="http://schemas.openxmlformats.org/officeDocument/2006/relationships/hyperlink" Target="https://networking-docs.nvidia.com/mma4z00ns400t" TargetMode="External" Id="rId15"/><Relationship Type="http://schemas.openxmlformats.org/officeDocument/2006/relationships/hyperlink" Target="https://networking-docs.nvidia.com/mma1z00ns400t" TargetMode="External" Id="rId16"/><Relationship Type="http://schemas.openxmlformats.org/officeDocument/2006/relationships/hyperlink" Target="https://networking-docs.nvidia.com/mms1x00ns400" TargetMode="External" Id="rId17"/><Relationship Type="http://schemas.openxmlformats.org/officeDocument/2006/relationships/hyperlink" Target="https://networking-docs.nvidia.com/mms1v70cm10" TargetMode="External" Id="rId18"/><Relationship Type="http://schemas.openxmlformats.org/officeDocument/2006/relationships/hyperlink" Target="https://networking-docs.nvidia.com/mma1b00c100dspec" TargetMode="External" Id="rId19"/><Relationship Type="http://schemas.openxmlformats.org/officeDocument/2006/relationships/hyperlink" Target="https://networking-docs.nvidia.com/mms4c1x800" TargetMode="External" Id="rId20"/><Relationship Type="http://schemas.openxmlformats.org/officeDocument/2006/relationships/hyperlink" Target="https://networking-docs.nvidia.com/mms4x00nmt800g" TargetMode="External" Id="rId21"/><Relationship Type="http://schemas.openxmlformats.org/officeDocument/2006/relationships/hyperlink" Target="https://networking-docs.nvidia.com/mms4x00nm800g500m" TargetMode="External" Id="rId22"/><Relationship Type="http://schemas.openxmlformats.org/officeDocument/2006/relationships/hyperlink" Target="https://networking-docs.nvidia.com/mms4x00nm800g500m" TargetMode="External" Id="rId23"/><Relationship Type="http://schemas.openxmlformats.org/officeDocument/2006/relationships/hyperlink" Target="https://networking-docs.nvidia.com/mms4x50nm800g2kmpub" TargetMode="External" Id="rId24"/><Relationship Type="http://schemas.openxmlformats.org/officeDocument/2006/relationships/hyperlink" Target="https://networking-docs.nvidia.com/800gmms4x00ns" TargetMode="External" Id="rId25"/><Relationship Type="http://schemas.openxmlformats.org/officeDocument/2006/relationships/hyperlink" Target="https://networking-docs.nvidia.com/800gmms4x00ns" TargetMode="External" Id="rId26"/><Relationship Type="http://schemas.openxmlformats.org/officeDocument/2006/relationships/hyperlink" Target="https://networking-docs.nvidia.com/800gmma4z00nst" TargetMode="External" Id="rId27"/><Relationship Type="http://schemas.openxmlformats.org/officeDocument/2006/relationships/hyperlink" Target="https://networking-docs.nvidia.com/800gmms4x00nst" TargetMode="External" Id="rId28"/><Relationship Type="http://schemas.openxmlformats.org/officeDocument/2006/relationships/hyperlink" Target="https://networking-docs.nvidia.com/9iat0mosfp800sprhs" TargetMode="External" Id="rId29"/><Relationship Type="http://schemas.openxmlformats.org/officeDocument/2006/relationships/hyperlink" Target="https://networking-docs.nvidia.com/mms4x00nm16" TargetMode="External" Id="rId30"/><Relationship Type="http://schemas.openxmlformats.org/officeDocument/2006/relationships/hyperlink" Target="https://networking-docs.nvidia.com/mms4x00nmhgx500" TargetMode="External" Id="rId31"/><Relationship Type="http://schemas.openxmlformats.org/officeDocument/2006/relationships/hyperlink" Target="https://networking-docs.nvidia.com/mms4x90nr800g" TargetMode="External" Id="rId32"/><Relationship Type="http://schemas.openxmlformats.org/officeDocument/2006/relationships/hyperlink" Target="https://networking-docs.nvidia.com/mms1w50hmspec" TargetMode="External" Id="rId33"/><Relationship Type="http://schemas.openxmlformats.org/officeDocument/2006/relationships/hyperlink" Target="https://networking-docs.nvidia.com/mma2p00asspec" TargetMode="External" Id="rId34"/><Relationship Type="http://schemas.openxmlformats.org/officeDocument/2006/relationships/hyperlink" Target="https://networking-docs.nvidia.com/mfa7u10h00x10" TargetMode="External" Id="rId35"/><Relationship Type="http://schemas.openxmlformats.org/officeDocument/2006/relationships/hyperlink" Target="https://networking-docs.nvidia.com/mfa7u10h00x10" TargetMode="External" Id="rId36"/><Relationship Type="http://schemas.openxmlformats.org/officeDocument/2006/relationships/hyperlink" Target="https://networking-docs.nvidia.com/mfs1s00hxxxv10" TargetMode="External" Id="rId37"/><Relationship Type="http://schemas.openxmlformats.org/officeDocument/2006/relationships/hyperlink" Target="https://networking-docs.nvidia.com/mca4k00hw" TargetMode="External" Id="rId38"/><Relationship Type="http://schemas.openxmlformats.org/officeDocument/2006/relationships/hyperlink" Target="https://networking-docs.nvidia.com/mca4k50osfp1600" TargetMode="External" Id="rId39"/><Relationship Type="http://schemas.openxmlformats.org/officeDocument/2006/relationships/hyperlink" Target="https://networking-docs.nvidia.com/9809iao500xxxxrhs2x800" TargetMode="External" Id="rId40"/><Relationship Type="http://schemas.openxmlformats.org/officeDocument/2006/relationships/hyperlink" Target="https://networking-docs.nvidia.com/mca4j80nxxx800pub" TargetMode="External" Id="rId41"/><Relationship Type="http://schemas.openxmlformats.org/officeDocument/2006/relationships/hyperlink" Target="https://networking-docs.nvidia.com/mca4j80nxxx800pub" TargetMode="External" Id="rId42"/><Relationship Type="http://schemas.openxmlformats.org/officeDocument/2006/relationships/hyperlink" Target="https://networking-docs.nvidia.com/mca4j80nxxx800pub" TargetMode="External" Id="rId43"/><Relationship Type="http://schemas.openxmlformats.org/officeDocument/2006/relationships/hyperlink" Target="https://networking-docs.nvidia.com/mcp4y10nxxx2x400pub" TargetMode="External" Id="rId44"/><Relationship Type="http://schemas.openxmlformats.org/officeDocument/2006/relationships/hyperlink" Target="https://networking-docs.nvidia.com/mcp4y10nxxx2x400pub" TargetMode="External" Id="rId45"/><Relationship Type="http://schemas.openxmlformats.org/officeDocument/2006/relationships/hyperlink" Target="https://networking-docs.nvidia.com/mcp7y00nxxx800pub" TargetMode="External" Id="rId46"/><Relationship Type="http://schemas.openxmlformats.org/officeDocument/2006/relationships/hyperlink" Target="https://networking-docs.nvidia.com/mcp7y00nxxx800pub" TargetMode="External" Id="rId47"/><Relationship Type="http://schemas.openxmlformats.org/officeDocument/2006/relationships/hyperlink" Target="https://networking-docs.nvidia.com/mcp1600e0xxxeyyspec" TargetMode="External" Id="rId48"/><Relationship Type="http://schemas.openxmlformats.org/officeDocument/2006/relationships/hyperlink" Target="https://networking-docs.nvidia.com/9iau000xmosfptcvr1600" TargetMode="External" Id="rId49"/><Relationship Type="http://schemas.openxmlformats.org/officeDocument/2006/relationships/hyperlink" Target="https://networking-docs.nvidia.com/mam1q00aqsadnmx" TargetMode="External" Id="rId50"/><Relationship Type="http://schemas.openxmlformats.org/officeDocument/2006/relationships/hyperlink" Target="https://networking-docs.nvidia.com/mam1q00aqsa28dnmx" TargetMode="External" Id="rId51"/><Relationship Type="http://schemas.openxmlformats.org/officeDocument/2006/relationships/hyperlink" Target="https://networking-docs.nvidia.com/mfp7e10nxxx" TargetMode="External" Id="rId52"/><Relationship Type="http://schemas.openxmlformats.org/officeDocument/2006/relationships/hyperlink" Target="https://networking-docs.nvidia.com/mfp7e20nxxx" TargetMode="External" Id="rId53"/><Relationship Type="http://schemas.openxmlformats.org/officeDocument/2006/relationships/hyperlink" Target="https://networking-docs.nvidia.com/mfp7e30nxxxpub" TargetMode="External" Id="rId54"/><Relationship Type="http://schemas.openxmlformats.org/officeDocument/2006/relationships/hyperlink" Target="https://networking-docs.nvidia.com/mfp7e40nxxxpub" TargetMode="External" Id="rId55"/><Relationship Type="http://schemas.openxmlformats.org/officeDocument/2006/relationships/hyperlink" Target="https://networking-docs.nvidia.com/sn6000hw" TargetMode="External" Id="rId56"/><Relationship Type="http://schemas.openxmlformats.org/officeDocument/2006/relationships/hyperlink" Target="https://networking-docs.nvidia.com/sn6000hw" TargetMode="External" Id="rId57"/><Relationship Type="http://schemas.openxmlformats.org/officeDocument/2006/relationships/hyperlink" Target="https://networking-docs.nvidia.com/sn6000hw" TargetMode="External" Id="rId58"/><Relationship Type="http://schemas.openxmlformats.org/officeDocument/2006/relationships/hyperlink" Target="https://networking-docs.nvidia.com/sn6000hw" TargetMode="External" Id="rId59"/><Relationship Type="http://schemas.openxmlformats.org/officeDocument/2006/relationships/hyperlink" Target="https://networking-docs.nvidia.com/sn6000hw" TargetMode="External" Id="rId60"/><Relationship Type="http://schemas.openxmlformats.org/officeDocument/2006/relationships/hyperlink" Target="https://networking-docs.nvidia.com/sn5000hw" TargetMode="External" Id="rId61"/><Relationship Type="http://schemas.openxmlformats.org/officeDocument/2006/relationships/hyperlink" Target="https://networking-docs.nvidia.com/sn5000hw" TargetMode="External" Id="rId62"/><Relationship Type="http://schemas.openxmlformats.org/officeDocument/2006/relationships/hyperlink" Target="https://networking-docs.nvidia.com/sn5000hw" TargetMode="External" Id="rId63"/><Relationship Type="http://schemas.openxmlformats.org/officeDocument/2006/relationships/hyperlink" Target="https://networking-docs.nvidia.com/sn5000hw" TargetMode="External" Id="rId64"/><Relationship Type="http://schemas.openxmlformats.org/officeDocument/2006/relationships/hyperlink" Target="https://networking-docs.nvidia.com/sn4000hw" TargetMode="External" Id="rId65"/><Relationship Type="http://schemas.openxmlformats.org/officeDocument/2006/relationships/hyperlink" Target="https://networking-docs.nvidia.com/sn4000hw" TargetMode="External" Id="rId66"/><Relationship Type="http://schemas.openxmlformats.org/officeDocument/2006/relationships/hyperlink" Target="https://networking-docs.nvidia.com/sn3000hw" TargetMode="External" Id="rId67"/><Relationship Type="http://schemas.openxmlformats.org/officeDocument/2006/relationships/hyperlink" Target="https://networking-docs.nvidia.com/sn2201hw" TargetMode="External" Id="rId68"/><Relationship Type="http://schemas.openxmlformats.org/officeDocument/2006/relationships/hyperlink" Target="https://networking-docs.nvidia.com/sn4000hw" TargetMode="External" Id="rId69"/><Relationship Type="http://schemas.openxmlformats.org/officeDocument/2006/relationships/hyperlink" Target="https://networking-docs.nvidia.com/sn4000hw" TargetMode="External" Id="rId70"/><Relationship Type="http://schemas.openxmlformats.org/officeDocument/2006/relationships/hyperlink" Target="https://networking-docs.nvidia.com/switches#nvidiatab-hw-documentation" TargetMode="External" Id="rId71"/><Relationship Type="http://schemas.openxmlformats.org/officeDocument/2006/relationships/hyperlink" Target="https://networking-docs.nvidia.com/switches#nvidiatab-hw-documentation" TargetMode="External" Id="rId72"/><Relationship Type="http://schemas.openxmlformats.org/officeDocument/2006/relationships/hyperlink" Target="https://networking-docs.nvidia.com/switches#nvidiatab-hw-documentation" TargetMode="External" Id="rId73"/><Relationship Type="http://schemas.openxmlformats.org/officeDocument/2006/relationships/hyperlink" Target="https://networking-docs.nvidia.com/switches#nvidiatab-hw-documentation" TargetMode="External" Id="rId74"/><Relationship Type="http://schemas.openxmlformats.org/officeDocument/2006/relationships/hyperlink" Target="https://networking-docs.nvidia.com/switches#nvidiatab-hw-documentation" TargetMode="External" Id="rId75"/><Relationship Type="http://schemas.openxmlformats.org/officeDocument/2006/relationships/hyperlink" Target="https://networking-docs.nvidia.com/skyway" TargetMode="External" Id="rId76"/><Relationship Type="http://schemas.openxmlformats.org/officeDocument/2006/relationships/hyperlink" Target="https://networking-docs.nvidia.com/metrox3xc" TargetMode="External" Id="rId77"/><Relationship Type="http://schemas.openxmlformats.org/officeDocument/2006/relationships/hyperlink" Target="https://networking-docs.nvidia.com/switches#nvidiatab-hw-documentation" TargetMode="External" Id="rId78"/><Relationship Type="http://schemas.openxmlformats.org/officeDocument/2006/relationships/hyperlink" Target="https://networking-docs.nvidia.com/switches#nvidiatab-hw-documentation" TargetMode="External" Id="rId79"/><Relationship Type="http://schemas.openxmlformats.org/officeDocument/2006/relationships/hyperlink" Target="https://networking-docs.nvidia.com/switches#nvidiatab-hw-documentation" TargetMode="External" Id="rId80"/><Relationship Type="http://schemas.openxmlformats.org/officeDocument/2006/relationships/hyperlink" Target="https://networking-docs.nvidia.com/skyway3hw" TargetMode="External" Id="rId81"/><Relationship Type="http://schemas.openxmlformats.org/officeDocument/2006/relationships/hyperlink" Target="https://networking-docs.nvidia.com/xdrswitcheshw" TargetMode="External" Id="rId82"/><Relationship Type="http://schemas.openxmlformats.org/officeDocument/2006/relationships/hyperlink" Target="https://www.nvidia.com/en-us/networking/products/silicon-photonics/" TargetMode="External" Id="rId83"/><Relationship Type="http://schemas.openxmlformats.org/officeDocument/2006/relationships/hyperlink" Target="https://www.nvidia.com/en-eu/data-center/dgx-rubin-nvl8/" TargetMode="External" Id="rId84"/><Relationship Type="http://schemas.openxmlformats.org/officeDocument/2006/relationships/hyperlink" Target="https://www.nvidia.com/en-us/networking/products/data-processing-unit/" TargetMode="External" Id="rId85"/><Relationship Type="http://schemas.openxmlformats.org/officeDocument/2006/relationships/hyperlink" Target="https://networking-docs.nvidia.com/bf3dpu" TargetMode="External" Id="rId86"/><Relationship Type="http://schemas.openxmlformats.org/officeDocument/2006/relationships/hyperlink" Target="https://networking-docs.nvidia.com/connectx9hw" TargetMode="External" Id="rId87"/><Relationship Type="http://schemas.openxmlformats.org/officeDocument/2006/relationships/hyperlink" Target="https://networking-docs.nvidia.com/connectx8hw" TargetMode="External" Id="rId88"/><Relationship Type="http://schemas.openxmlformats.org/officeDocument/2006/relationships/hyperlink" Target="https://networking-docs.nvidia.com/bf3dpu" TargetMode="External" Id="rId89"/><Relationship Type="http://schemas.openxmlformats.org/officeDocument/2006/relationships/hyperlink" Target="https://networking-docs.nvidia.com/connectx9hw" TargetMode="External" Id="rId90"/><Relationship Type="http://schemas.openxmlformats.org/officeDocument/2006/relationships/hyperlink" Target="https://networking-docs.nvidia.com/connectx9hw" TargetMode="External" Id="rId91"/><Relationship Type="http://schemas.openxmlformats.org/officeDocument/2006/relationships/hyperlink" Target="https://networking-docs.nvidia.com/connectx8hw" TargetMode="External" Id="rId92"/><Relationship Type="http://schemas.openxmlformats.org/officeDocument/2006/relationships/hyperlink" Target="https://networking-docs.nvidia.com/connectx8hw" TargetMode="External" Id="rId93"/><Relationship Type="http://schemas.openxmlformats.org/officeDocument/2006/relationships/hyperlink" Target="https://networking-docs.nvidia.com/connectx8hw" TargetMode="External" Id="rId94"/><Relationship Type="http://schemas.openxmlformats.org/officeDocument/2006/relationships/hyperlink" Target="https://networking-docs.nvidia.com/connectx7hw" TargetMode="External" Id="rId95"/><Relationship Type="http://schemas.openxmlformats.org/officeDocument/2006/relationships/hyperlink" Target="https://networking-docs.nvidia.com/adapters" TargetMode="External" Id="rId96"/><Relationship Type="http://schemas.openxmlformats.org/officeDocument/2006/relationships/hyperlink" Target="https://networking-docs.nvidia.com/adapters" TargetMode="External" Id="rId97"/><Relationship Type="http://schemas.openxmlformats.org/officeDocument/2006/relationships/hyperlink" Target="https://networking-docs.nvidia.com/adapters" TargetMode="External" Id="rId98"/><Relationship Type="http://schemas.openxmlformats.org/officeDocument/2006/relationships/hyperlink" Target="https://networking-docs.nvidia.com/software/management-software/ufm-appliances" TargetMode="External" Id="rId99"/><Relationship Type="http://schemas.openxmlformats.org/officeDocument/2006/relationships/hyperlink" Target="https://networking-docs.nvidia.com/ufmenterprisexdrdchw/" TargetMode="External" Id="rId100"/><Relationship Type="http://schemas.openxmlformats.org/officeDocument/2006/relationships/hyperlink" Target="https://networking-docs.nvidia.com/ufm40cyberaiapphw" TargetMode="External" Id="rId101"/><Relationship Type="http://schemas.openxmlformats.org/officeDocument/2006/relationships/hyperlink" Target="https://networking-docs.nvidia.com/ufmenterprisehdrhwum" TargetMode="External" Id="rId102"/><Relationship Type="http://schemas.openxmlformats.org/officeDocument/2006/relationships/hyperlink" Target="https://networking-docs.nvidia.com/ufmenterprisendrhwum" TargetMode="External" Id="rId103"/><Relationship Type="http://schemas.openxmlformats.org/officeDocument/2006/relationships/hyperlink" Target="https://networking-docs.nvidia.com/ufmsdn25apphw" TargetMode="External" Id="rId104"/><Relationship Type="http://schemas.openxmlformats.org/officeDocument/2006/relationships/hyperlink" Target="https://networking-docs.nvidia.com/ufm45cyberaiapphw" TargetMode="External" Id="rId105"/><Relationship Type="http://schemas.openxmlformats.org/officeDocument/2006/relationships/hyperlink" Target="https://networking-docs.nvidia.com/connectx5en" TargetMode="External" Id="rId106"/><Relationship Type="http://schemas.openxmlformats.org/officeDocument/2006/relationships/hyperlink" Target="https://networking-docs.nvidia.com/connectx4" TargetMode="External" Id="rId107"/><Relationship Type="http://schemas.openxmlformats.org/officeDocument/2006/relationships/hyperlink" Target="https://networking-docs.nvidia.com/connectx4lx" TargetMode="External" Id="rId108"/></Relationships>
</file>

<file path=xl/worksheets/_rels/sheet4.xml.rels><Relationships xmlns="http://schemas.openxmlformats.org/package/2006/relationships"><Relationship Type="http://schemas.openxmlformats.org/officeDocument/2006/relationships/hyperlink" Target="https://networking-docs.nvidia.com/mms4b10xmtro1600g" TargetMode="External" Id="rId1"/><Relationship Type="http://schemas.openxmlformats.org/officeDocument/2006/relationships/hyperlink" Target="https://networking-docs.nvidia.com/mms4b10xmtro1600g" TargetMode="External" Id="rId2"/><Relationship Type="http://schemas.openxmlformats.org/officeDocument/2006/relationships/hyperlink" Target="https://networking-docs.nvidia.com/9iau000xmosfptcvr1600" TargetMode="External" Id="rId3"/><Relationship Type="http://schemas.openxmlformats.org/officeDocument/2006/relationships/hyperlink" Target="https://networking-docs.nvidia.com/9iau000xmosfptcvr1600" TargetMode="External" Id="rId4"/><Relationship Type="http://schemas.openxmlformats.org/officeDocument/2006/relationships/hyperlink" Target="https://networking-docs.nvidia.com/9iau000xmosfptcvr1600" TargetMode="External" Id="rId5"/><Relationship Type="http://schemas.openxmlformats.org/officeDocument/2006/relationships/hyperlink" Target="https://networking-docs.nvidia.com/9iau000xmosfptcvr1600" TargetMode="External" Id="rId6"/><Relationship Type="http://schemas.openxmlformats.org/officeDocument/2006/relationships/hyperlink" Target="https://networking-docs.nvidia.com/9iahx00xmosfptcvr1600" TargetMode="External" Id="rId7"/><Relationship Type="http://schemas.openxmlformats.org/officeDocument/2006/relationships/hyperlink" Target="https://networking-docs.nvidia.com/9iahx00xmosfptcvr1600" TargetMode="External" Id="rId8"/><Relationship Type="http://schemas.openxmlformats.org/officeDocument/2006/relationships/hyperlink" Target="https://networking-docs.nvidia.com/mms4a501600gosfp" TargetMode="External" Id="rId9"/><Relationship Type="http://schemas.openxmlformats.org/officeDocument/2006/relationships/hyperlink" Target="https://networking-docs.nvidia.com/mms4a501600gosfp" TargetMode="External" Id="rId10"/><Relationship Type="http://schemas.openxmlformats.org/officeDocument/2006/relationships/hyperlink" Target="https://networking-docs.nvidia.com/mms1z00ns400sr4" TargetMode="External" Id="rId11"/><Relationship Type="http://schemas.openxmlformats.org/officeDocument/2006/relationships/hyperlink" Target="https://networking-docs.nvidia.com/mms1v00wm10" TargetMode="External" Id="rId12"/><Relationship Type="http://schemas.openxmlformats.org/officeDocument/2006/relationships/hyperlink" Target="https://networking-docs.nvidia.com/mms4x00ns400" TargetMode="External" Id="rId13"/><Relationship Type="http://schemas.openxmlformats.org/officeDocument/2006/relationships/hyperlink" Target="https://networking-docs.nvidia.com/mma4z00ns400" TargetMode="External" Id="rId14"/><Relationship Type="http://schemas.openxmlformats.org/officeDocument/2006/relationships/hyperlink" Target="https://networking-docs.nvidia.com/mma4z00ns400t" TargetMode="External" Id="rId15"/><Relationship Type="http://schemas.openxmlformats.org/officeDocument/2006/relationships/hyperlink" Target="https://networking-docs.nvidia.com/mma1z00ns400t" TargetMode="External" Id="rId16"/><Relationship Type="http://schemas.openxmlformats.org/officeDocument/2006/relationships/hyperlink" Target="https://networking-docs.nvidia.com/mms1x00ns400" TargetMode="External" Id="rId17"/><Relationship Type="http://schemas.openxmlformats.org/officeDocument/2006/relationships/hyperlink" Target="https://networking-docs.nvidia.com/mms1v70cm10" TargetMode="External" Id="rId18"/><Relationship Type="http://schemas.openxmlformats.org/officeDocument/2006/relationships/hyperlink" Target="https://networking-docs.nvidia.com/mma1b00c100dspec" TargetMode="External" Id="rId19"/><Relationship Type="http://schemas.openxmlformats.org/officeDocument/2006/relationships/hyperlink" Target="https://networking-docs.nvidia.com/mms4c1x800" TargetMode="External" Id="rId20"/><Relationship Type="http://schemas.openxmlformats.org/officeDocument/2006/relationships/hyperlink" Target="https://networking-docs.nvidia.com/mms4x00nmt800g" TargetMode="External" Id="rId21"/><Relationship Type="http://schemas.openxmlformats.org/officeDocument/2006/relationships/hyperlink" Target="https://networking-docs.nvidia.com/mms4x00nm800g500m" TargetMode="External" Id="rId22"/><Relationship Type="http://schemas.openxmlformats.org/officeDocument/2006/relationships/hyperlink" Target="https://networking-docs.nvidia.com/mms4x00nm800g500m" TargetMode="External" Id="rId23"/><Relationship Type="http://schemas.openxmlformats.org/officeDocument/2006/relationships/hyperlink" Target="https://networking-docs.nvidia.com/mms4x50nm800g2kmpub" TargetMode="External" Id="rId24"/><Relationship Type="http://schemas.openxmlformats.org/officeDocument/2006/relationships/hyperlink" Target="https://networking-docs.nvidia.com/800gmms4x00ns" TargetMode="External" Id="rId25"/><Relationship Type="http://schemas.openxmlformats.org/officeDocument/2006/relationships/hyperlink" Target="https://networking-docs.nvidia.com/800gmms4x00ns" TargetMode="External" Id="rId26"/><Relationship Type="http://schemas.openxmlformats.org/officeDocument/2006/relationships/hyperlink" Target="https://networking-docs.nvidia.com/800gmma4z00nst" TargetMode="External" Id="rId27"/><Relationship Type="http://schemas.openxmlformats.org/officeDocument/2006/relationships/hyperlink" Target="https://networking-docs.nvidia.com/800gmms4x00nst" TargetMode="External" Id="rId28"/><Relationship Type="http://schemas.openxmlformats.org/officeDocument/2006/relationships/hyperlink" Target="https://networking-docs.nvidia.com/9iat0mosfp800sprhs" TargetMode="External" Id="rId29"/><Relationship Type="http://schemas.openxmlformats.org/officeDocument/2006/relationships/hyperlink" Target="https://networking-docs.nvidia.com/mms4x00nm16" TargetMode="External" Id="rId30"/><Relationship Type="http://schemas.openxmlformats.org/officeDocument/2006/relationships/hyperlink" Target="https://networking-docs.nvidia.com/mms4x00nmhgx500" TargetMode="External" Id="rId31"/><Relationship Type="http://schemas.openxmlformats.org/officeDocument/2006/relationships/hyperlink" Target="https://networking-docs.nvidia.com/mms4x90nr800g" TargetMode="External" Id="rId32"/><Relationship Type="http://schemas.openxmlformats.org/officeDocument/2006/relationships/hyperlink" Target="https://networking-docs.nvidia.com/mms1w50hmspec" TargetMode="External" Id="rId33"/><Relationship Type="http://schemas.openxmlformats.org/officeDocument/2006/relationships/hyperlink" Target="https://networking-docs.nvidia.com/mma2p00asspec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https://networking-docs.nvidia.com/mfa7u10h00x10" TargetMode="External" Id="rId1"/><Relationship Type="http://schemas.openxmlformats.org/officeDocument/2006/relationships/hyperlink" Target="https://networking-docs.nvidia.com/mfa7u10h00x10" TargetMode="External" Id="rId2"/><Relationship Type="http://schemas.openxmlformats.org/officeDocument/2006/relationships/hyperlink" Target="https://networking-docs.nvidia.com/mfs1s00hxxxv10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https://networking-docs.nvidia.com/mca4k00hw" TargetMode="External" Id="rId1"/><Relationship Type="http://schemas.openxmlformats.org/officeDocument/2006/relationships/hyperlink" Target="https://networking-docs.nvidia.com/mca4k50osfp1600" TargetMode="External" Id="rId2"/><Relationship Type="http://schemas.openxmlformats.org/officeDocument/2006/relationships/hyperlink" Target="https://networking-docs.nvidia.com/9809iao500xxxxrhs2x800" TargetMode="External" Id="rId3"/><Relationship Type="http://schemas.openxmlformats.org/officeDocument/2006/relationships/hyperlink" Target="https://networking-docs.nvidia.com/mca4j80nxxx800pub" TargetMode="External" Id="rId4"/><Relationship Type="http://schemas.openxmlformats.org/officeDocument/2006/relationships/hyperlink" Target="https://networking-docs.nvidia.com/mca4j80nxxx800pub" TargetMode="External" Id="rId5"/><Relationship Type="http://schemas.openxmlformats.org/officeDocument/2006/relationships/hyperlink" Target="https://networking-docs.nvidia.com/mca4j80nxxx800pub" TargetMode="External" Id="rId6"/><Relationship Type="http://schemas.openxmlformats.org/officeDocument/2006/relationships/hyperlink" Target="https://networking-docs.nvidia.com/mcp4y10nxxx2x400pub" TargetMode="External" Id="rId7"/><Relationship Type="http://schemas.openxmlformats.org/officeDocument/2006/relationships/hyperlink" Target="https://networking-docs.nvidia.com/mcp4y10nxxx2x400pub" TargetMode="External" Id="rId8"/><Relationship Type="http://schemas.openxmlformats.org/officeDocument/2006/relationships/hyperlink" Target="https://networking-docs.nvidia.com/mcp7y00nxxx800pub" TargetMode="External" Id="rId9"/><Relationship Type="http://schemas.openxmlformats.org/officeDocument/2006/relationships/hyperlink" Target="https://networking-docs.nvidia.com/mcp7y00nxxx800pub" TargetMode="External" Id="rId10"/><Relationship Type="http://schemas.openxmlformats.org/officeDocument/2006/relationships/hyperlink" Target="https://networking-docs.nvidia.com/mcp1600e0xxxeyyspec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networking-docs.nvidia.com/9iau000xmosfptcvr1600" TargetMode="External" Id="rId1"/><Relationship Type="http://schemas.openxmlformats.org/officeDocument/2006/relationships/hyperlink" Target="https://networking-docs.nvidia.com/mam1q00aqsadnmx" TargetMode="External" Id="rId2"/><Relationship Type="http://schemas.openxmlformats.org/officeDocument/2006/relationships/hyperlink" Target="https://networking-docs.nvidia.com/mam1q00aqsa28dnmx" TargetMode="External" Id="rId3"/><Relationship Type="http://schemas.openxmlformats.org/officeDocument/2006/relationships/hyperlink" Target="https://networking-docs.nvidia.com/mfp7e10nxxx" TargetMode="External" Id="rId4"/><Relationship Type="http://schemas.openxmlformats.org/officeDocument/2006/relationships/hyperlink" Target="https://networking-docs.nvidia.com/mfp7e20nxxx" TargetMode="External" Id="rId5"/><Relationship Type="http://schemas.openxmlformats.org/officeDocument/2006/relationships/hyperlink" Target="https://networking-docs.nvidia.com/mfp7e30nxxxpub" TargetMode="External" Id="rId6"/><Relationship Type="http://schemas.openxmlformats.org/officeDocument/2006/relationships/hyperlink" Target="https://networking-docs.nvidia.com/mfp7e40nxxxpub" TargetMode="External" Id="rId7"/></Relationships>
</file>

<file path=xl/worksheets/_rels/sheet8.xml.rels><Relationships xmlns="http://schemas.openxmlformats.org/package/2006/relationships"><Relationship Type="http://schemas.openxmlformats.org/officeDocument/2006/relationships/hyperlink" Target="https://networking-docs.nvidia.com/sn6000hw" TargetMode="External" Id="rId1"/><Relationship Type="http://schemas.openxmlformats.org/officeDocument/2006/relationships/hyperlink" Target="https://networking-docs.nvidia.com/sn6000hw" TargetMode="External" Id="rId2"/><Relationship Type="http://schemas.openxmlformats.org/officeDocument/2006/relationships/hyperlink" Target="https://networking-docs.nvidia.com/sn6000hw" TargetMode="External" Id="rId3"/><Relationship Type="http://schemas.openxmlformats.org/officeDocument/2006/relationships/hyperlink" Target="https://networking-docs.nvidia.com/sn6000hw" TargetMode="External" Id="rId4"/><Relationship Type="http://schemas.openxmlformats.org/officeDocument/2006/relationships/hyperlink" Target="https://networking-docs.nvidia.com/sn6000hw" TargetMode="External" Id="rId5"/><Relationship Type="http://schemas.openxmlformats.org/officeDocument/2006/relationships/hyperlink" Target="https://networking-docs.nvidia.com/sn5000hw" TargetMode="External" Id="rId6"/><Relationship Type="http://schemas.openxmlformats.org/officeDocument/2006/relationships/hyperlink" Target="https://networking-docs.nvidia.com/sn5000hw" TargetMode="External" Id="rId7"/><Relationship Type="http://schemas.openxmlformats.org/officeDocument/2006/relationships/hyperlink" Target="https://networking-docs.nvidia.com/sn5000hw" TargetMode="External" Id="rId8"/><Relationship Type="http://schemas.openxmlformats.org/officeDocument/2006/relationships/hyperlink" Target="https://networking-docs.nvidia.com/sn5000hw" TargetMode="External" Id="rId9"/><Relationship Type="http://schemas.openxmlformats.org/officeDocument/2006/relationships/hyperlink" Target="https://networking-docs.nvidia.com/sn4000hw" TargetMode="External" Id="rId10"/><Relationship Type="http://schemas.openxmlformats.org/officeDocument/2006/relationships/hyperlink" Target="https://networking-docs.nvidia.com/sn4000hw" TargetMode="External" Id="rId11"/><Relationship Type="http://schemas.openxmlformats.org/officeDocument/2006/relationships/hyperlink" Target="https://networking-docs.nvidia.com/sn3000hw" TargetMode="External" Id="rId12"/><Relationship Type="http://schemas.openxmlformats.org/officeDocument/2006/relationships/hyperlink" Target="https://networking-docs.nvidia.com/sn2201hw" TargetMode="External" Id="rId13"/><Relationship Type="http://schemas.openxmlformats.org/officeDocument/2006/relationships/hyperlink" Target="https://networking-docs.nvidia.com/sn4000hw" TargetMode="External" Id="rId14"/><Relationship Type="http://schemas.openxmlformats.org/officeDocument/2006/relationships/hyperlink" Target="https://networking-docs.nvidia.com/sn4000hw" TargetMode="External" Id="rId15"/></Relationships>
</file>

<file path=xl/worksheets/_rels/sheet9.xml.rels><Relationships xmlns="http://schemas.openxmlformats.org/package/2006/relationships"><Relationship Type="http://schemas.openxmlformats.org/officeDocument/2006/relationships/hyperlink" Target="https://networking-docs.nvidia.com/switches#nvidiatab-hw-documentation" TargetMode="External" Id="rId1"/><Relationship Type="http://schemas.openxmlformats.org/officeDocument/2006/relationships/hyperlink" Target="https://networking-docs.nvidia.com/switches#nvidiatab-hw-documentation" TargetMode="External" Id="rId2"/><Relationship Type="http://schemas.openxmlformats.org/officeDocument/2006/relationships/hyperlink" Target="https://networking-docs.nvidia.com/switches#nvidiatab-hw-documentation" TargetMode="External" Id="rId3"/><Relationship Type="http://schemas.openxmlformats.org/officeDocument/2006/relationships/hyperlink" Target="https://networking-docs.nvidia.com/switches#nvidiatab-hw-documentation" TargetMode="External" Id="rId4"/><Relationship Type="http://schemas.openxmlformats.org/officeDocument/2006/relationships/hyperlink" Target="https://networking-docs.nvidia.com/switches#nvidiatab-hw-documentation" TargetMode="External" Id="rId5"/><Relationship Type="http://schemas.openxmlformats.org/officeDocument/2006/relationships/hyperlink" Target="https://networking-docs.nvidia.com/skyway" TargetMode="External" Id="rId6"/><Relationship Type="http://schemas.openxmlformats.org/officeDocument/2006/relationships/hyperlink" Target="https://networking-docs.nvidia.com/metrox3xc" TargetMode="External" Id="rId7"/><Relationship Type="http://schemas.openxmlformats.org/officeDocument/2006/relationships/hyperlink" Target="https://networking-docs.nvidia.com/switches#nvidiatab-hw-documentation" TargetMode="External" Id="rId8"/><Relationship Type="http://schemas.openxmlformats.org/officeDocument/2006/relationships/hyperlink" Target="https://networking-docs.nvidia.com/switches#nvidiatab-hw-documentation" TargetMode="External" Id="rId9"/><Relationship Type="http://schemas.openxmlformats.org/officeDocument/2006/relationships/hyperlink" Target="https://networking-docs.nvidia.com/switches#nvidiatab-hw-documentation" TargetMode="External" Id="rId10"/><Relationship Type="http://schemas.openxmlformats.org/officeDocument/2006/relationships/hyperlink" Target="https://networking-docs.nvidia.com/skyway3hw" TargetMode="External" Id="rId11"/></Relationships>
</file>

<file path=xl/worksheets/_rels/sheet10.xml.rels><Relationships xmlns="http://schemas.openxmlformats.org/package/2006/relationships"><Relationship Type="http://schemas.openxmlformats.org/officeDocument/2006/relationships/hyperlink" Target="https://networking-docs.nvidia.com/xdrswitcheshw" TargetMode="External" Id="rId1"/><Relationship Type="http://schemas.openxmlformats.org/officeDocument/2006/relationships/hyperlink" Target="https://www.nvidia.com/en-us/networking/products/silicon-photonics/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vidia.com/en-eu/data-center/dgx-rubin-nvl8/" TargetMode="External" Id="rId1"/><Relationship Type="http://schemas.openxmlformats.org/officeDocument/2006/relationships/hyperlink" Target="https://www.nvidia.com/en-us/networking/products/data-processing-unit/" TargetMode="External" Id="rId2"/><Relationship Type="http://schemas.openxmlformats.org/officeDocument/2006/relationships/hyperlink" Target="https://networking-docs.nvidia.com/bf3dpu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https://networking-docs.nvidia.com/connectx9hw" TargetMode="External" Id="rId1"/><Relationship Type="http://schemas.openxmlformats.org/officeDocument/2006/relationships/hyperlink" Target="https://networking-docs.nvidia.com/connectx8hw" TargetMode="External" Id="rId2"/><Relationship Type="http://schemas.openxmlformats.org/officeDocument/2006/relationships/hyperlink" Target="https://networking-docs.nvidia.com/bf3dpu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https://networking-docs.nvidia.com/connectx9hw" TargetMode="External" Id="rId1"/><Relationship Type="http://schemas.openxmlformats.org/officeDocument/2006/relationships/hyperlink" Target="https://networking-docs.nvidia.com/connectx9hw" TargetMode="External" Id="rId2"/><Relationship Type="http://schemas.openxmlformats.org/officeDocument/2006/relationships/hyperlink" Target="https://networking-docs.nvidia.com/connectx8hw" TargetMode="External" Id="rId3"/><Relationship Type="http://schemas.openxmlformats.org/officeDocument/2006/relationships/hyperlink" Target="https://networking-docs.nvidia.com/connectx8hw" TargetMode="External" Id="rId4"/><Relationship Type="http://schemas.openxmlformats.org/officeDocument/2006/relationships/hyperlink" Target="https://networking-docs.nvidia.com/connectx8hw" TargetMode="External" Id="rId5"/><Relationship Type="http://schemas.openxmlformats.org/officeDocument/2006/relationships/hyperlink" Target="https://networking-docs.nvidia.com/connectx7hw" TargetMode="External" Id="rId6"/><Relationship Type="http://schemas.openxmlformats.org/officeDocument/2006/relationships/hyperlink" Target="https://networking-docs.nvidia.com/adapters" TargetMode="External" Id="rId7"/><Relationship Type="http://schemas.openxmlformats.org/officeDocument/2006/relationships/hyperlink" Target="https://networking-docs.nvidia.com/adapters" TargetMode="External" Id="rId8"/><Relationship Type="http://schemas.openxmlformats.org/officeDocument/2006/relationships/hyperlink" Target="https://networking-docs.nvidia.com/adapters" TargetMode="External" Id="rId9"/></Relationships>
</file>

<file path=xl/worksheets/_rels/sheet14.xml.rels><Relationships xmlns="http://schemas.openxmlformats.org/package/2006/relationships"><Relationship Type="http://schemas.openxmlformats.org/officeDocument/2006/relationships/hyperlink" Target="https://networking-docs.nvidia.com/software/management-software/ufm-appliances" TargetMode="External" Id="rId1"/><Relationship Type="http://schemas.openxmlformats.org/officeDocument/2006/relationships/hyperlink" Target="https://networking-docs.nvidia.com/ufmenterprisexdrdchw/" TargetMode="External" Id="rId2"/><Relationship Type="http://schemas.openxmlformats.org/officeDocument/2006/relationships/hyperlink" Target="https://networking-docs.nvidia.com/ufm40cyberaiapphw" TargetMode="External" Id="rId3"/><Relationship Type="http://schemas.openxmlformats.org/officeDocument/2006/relationships/hyperlink" Target="https://networking-docs.nvidia.com/ufmenterprisehdrhwum" TargetMode="External" Id="rId4"/><Relationship Type="http://schemas.openxmlformats.org/officeDocument/2006/relationships/hyperlink" Target="https://networking-docs.nvidia.com/ufmenterprisendrhwum" TargetMode="External" Id="rId5"/><Relationship Type="http://schemas.openxmlformats.org/officeDocument/2006/relationships/hyperlink" Target="https://networking-docs.nvidia.com/ufmsdn25apphw" TargetMode="External" Id="rId6"/><Relationship Type="http://schemas.openxmlformats.org/officeDocument/2006/relationships/hyperlink" Target="https://networking-docs.nvidia.com/ufm45cyberaiapphw" TargetMode="External" Id="rId7"/></Relationships>
</file>

<file path=xl/worksheets/_rels/sheet15.xml.rels><Relationships xmlns="http://schemas.openxmlformats.org/package/2006/relationships"><Relationship Type="http://schemas.openxmlformats.org/officeDocument/2006/relationships/hyperlink" Target="https://networking-docs.nvidia.com/connectx5en" TargetMode="External" Id="rId1"/><Relationship Type="http://schemas.openxmlformats.org/officeDocument/2006/relationships/hyperlink" Target="https://networking-docs.nvidia.com/connectx4" TargetMode="External" Id="rId2"/><Relationship Type="http://schemas.openxmlformats.org/officeDocument/2006/relationships/hyperlink" Target="https://networking-docs.nvidia.com/connectx4lx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NVIDIA Network Equipment</t>
        </is>
      </c>
    </row>
    <row r="2">
      <c r="A2" t="inlineStr">
        <is>
          <t>Snapshot</t>
        </is>
      </c>
      <c r="B2" t="inlineStr">
        <is>
          <t>2026-10-23</t>
        </is>
      </c>
    </row>
    <row r="3">
      <c r="A3" t="inlineStr">
        <is>
          <t>Schema</t>
        </is>
      </c>
      <c r="B3" t="inlineStr">
        <is>
          <t>v10</t>
        </is>
      </c>
    </row>
    <row r="4">
      <c r="A4" t="inlineStr">
        <is>
          <t>Timezone</t>
        </is>
      </c>
      <c r="B4" t="inlineStr">
        <is>
          <t>Europe/Warsaw</t>
        </is>
      </c>
    </row>
    <row r="5">
      <c r="A5" t="inlineStr">
        <is>
          <t>Source</t>
        </is>
      </c>
      <c r="B5" t="inlineStr">
        <is>
          <t>data/nvidia-interconnects.json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tabSelected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25" customWidth="1" min="3" max="3"/>
    <col width="36" customWidth="1" min="4" max="4"/>
    <col width="13" customWidth="1" min="5" max="5"/>
    <col width="55" customWidth="1" min="6" max="6"/>
    <col width="55" customWidth="1" min="7" max="7"/>
    <col width="40" customWidth="1" min="8" max="8"/>
    <col width="32" customWidth="1" min="9" max="9"/>
    <col width="55" customWidth="1" min="10" max="10"/>
    <col width="10" customWidth="1" min="11" max="11"/>
    <col width="41" customWidth="1" min="12" max="12"/>
    <col width="12" customWidth="1" min="13" max="13"/>
    <col width="55" customWidth="1" min="14" max="14"/>
    <col width="55" customWidth="1" min="15" max="15"/>
    <col hidden="1" width="13" customWidth="1" min="16" max="16"/>
    <col width="9" customWidth="1" min="17" max="17"/>
  </cols>
  <sheetData>
    <row r="1">
      <c r="A1" s="5" t="inlineStr">
        <is>
          <t>Section</t>
        </is>
      </c>
      <c r="B1" s="5" t="inlineStr">
        <is>
          <t>Model</t>
        </is>
      </c>
      <c r="C1" s="5" t="inlineStr">
        <is>
          <t>Variant</t>
        </is>
      </c>
      <c r="D1" s="5" t="inlineStr">
        <is>
          <t>Family</t>
        </is>
      </c>
      <c r="E1" s="5" t="inlineStr">
        <is>
          <t>Status</t>
        </is>
      </c>
      <c r="F1" s="5" t="inlineStr">
        <is>
          <t>Legacy OPN</t>
        </is>
      </c>
      <c r="G1" s="5" t="inlineStr">
        <is>
          <t>NVIDIA OPN</t>
        </is>
      </c>
      <c r="H1" s="5" t="inlineStr">
        <is>
          <t>Speed</t>
        </is>
      </c>
      <c r="I1" s="5" t="inlineStr">
        <is>
          <t>Form factor</t>
        </is>
      </c>
      <c r="J1" s="5" t="inlineStr">
        <is>
          <t>Interfaces</t>
        </is>
      </c>
      <c r="K1" s="5" t="inlineStr">
        <is>
          <t>Medium</t>
        </is>
      </c>
      <c r="L1" s="5" t="inlineStr">
        <is>
          <t>Reach</t>
        </is>
      </c>
      <c r="M1" s="5" t="inlineStr">
        <is>
          <t>Fabric</t>
        </is>
      </c>
      <c r="N1" s="5" t="inlineStr">
        <is>
          <t>Description</t>
        </is>
      </c>
      <c r="O1" s="5" t="inlineStr">
        <is>
          <t>Link</t>
        </is>
      </c>
      <c r="P1" s="5" t="inlineStr">
        <is>
          <t>Search text</t>
        </is>
      </c>
      <c r="Q1" s="5" t="inlineStr">
        <is>
          <t>Match #</t>
        </is>
      </c>
    </row>
    <row r="2">
      <c r="A2" t="inlineStr">
        <is>
          <t>Transceivers</t>
        </is>
      </c>
      <c r="B2" t="inlineStr">
        <is>
          <t>MMS4B10-XM</t>
        </is>
      </c>
      <c r="C2" t="inlineStr">
        <is>
          <t>RHS/TRO</t>
        </is>
      </c>
      <c r="E2" t="inlineStr">
        <is>
          <t>active</t>
        </is>
      </c>
      <c r="F2" t="inlineStr">
        <is>
          <t>—</t>
        </is>
      </c>
      <c r="G2" t="inlineStr">
        <is>
          <t>980-9IAJ0-00XM00</t>
        </is>
      </c>
      <c r="H2" t="inlineStr">
        <is>
          <t>1600G</t>
        </is>
      </c>
      <c r="I2" t="inlineStr">
        <is>
          <t>OSFP-flattop</t>
        </is>
      </c>
      <c r="J2" t="inlineStr">
        <is>
          <t>2x 800Gb/s MPO-12/APC</t>
        </is>
      </c>
      <c r="K2" t="inlineStr">
        <is>
          <t>SM</t>
        </is>
      </c>
      <c r="L2" t="inlineStr">
        <is>
          <t>max 500 m</t>
        </is>
      </c>
      <c r="M2" t="inlineStr">
        <is>
          <t>ETH</t>
        </is>
      </c>
      <c r="N2" t="inlineStr">
        <is>
          <t>MMS4B10-XM TRO 1600Gbps OSFP Twin-Port 2xDR4, 2xMPO (APC) 1310nm SMF Transceiver (up to 500m)</t>
        </is>
      </c>
      <c r="O2" s="6" t="inlineStr">
        <is>
          <t>https://networking-docs.nvidia.com/mms4b10xmtro1600g</t>
        </is>
      </c>
      <c r="P2" t="inlineStr">
        <is>
          <t>Transceivers MMS4B10-XM RHS/TRO  active — 980-9IAJ0-00XM00 1600G OSFP-flattop 2x 800Gb/s MPO-12/APC SM max 500 m ETH MMS4B10-XM TRO 1600Gbps OSFP Twin-Port 2xDR4, 2xMPO (APC) 1310nm SMF Transceiver (up to 500m)</t>
        </is>
      </c>
      <c r="Q2">
        <f>IF(AND(Search!$B$2&lt;&gt;"",ISNUMBER(SEARCH(Search!$B$2,P2))),MAX(Q$1:Q1)+1,"")</f>
        <v/>
      </c>
    </row>
    <row r="3">
      <c r="A3" t="inlineStr">
        <is>
          <t>Transceivers</t>
        </is>
      </c>
      <c r="B3" t="inlineStr">
        <is>
          <t>MMS4B10-XM</t>
        </is>
      </c>
      <c r="C3" t="inlineStr">
        <is>
          <t>IHS/TRO</t>
        </is>
      </c>
      <c r="E3" t="inlineStr">
        <is>
          <t>active</t>
        </is>
      </c>
      <c r="F3" t="inlineStr">
        <is>
          <t>—</t>
        </is>
      </c>
      <c r="G3" t="inlineStr">
        <is>
          <t>980-9IAJ0-00XM01</t>
        </is>
      </c>
      <c r="H3" t="inlineStr">
        <is>
          <t>1600G</t>
        </is>
      </c>
      <c r="I3" t="inlineStr">
        <is>
          <t>OSFP-finned</t>
        </is>
      </c>
      <c r="J3" t="inlineStr">
        <is>
          <t>2x 800Gb/s MPO-12/APC</t>
        </is>
      </c>
      <c r="K3" t="inlineStr">
        <is>
          <t>SM</t>
        </is>
      </c>
      <c r="L3" t="inlineStr">
        <is>
          <t>max 500 m</t>
        </is>
      </c>
      <c r="M3" t="inlineStr">
        <is>
          <t>ETH</t>
        </is>
      </c>
      <c r="N3" t="inlineStr">
        <is>
          <t>MMS4B10-XM TRO 1600Gbps OSFP Twin-Port 2xDR4, 2xMPO (APC) 1310nm SMF Transceiver (up to 500m)</t>
        </is>
      </c>
      <c r="O3" s="6" t="inlineStr">
        <is>
          <t>https://networking-docs.nvidia.com/mms4b10xmtro1600g</t>
        </is>
      </c>
      <c r="P3" t="inlineStr">
        <is>
          <t>Transceivers MMS4B10-XM IHS/TRO  active — 980-9IAJ0-00XM01 1600G OSFP-finned 2x 800Gb/s MPO-12/APC SM max 500 m ETH MMS4B10-XM TRO 1600Gbps OSFP Twin-Port 2xDR4, 2xMPO (APC) 1310nm SMF Transceiver (up to 500m)</t>
        </is>
      </c>
      <c r="Q3">
        <f>IF(AND(Search!$B$2&lt;&gt;"",ISNUMBER(SEARCH(Search!$B$2,P3))),MAX(Q$1:Q2)+1,"")</f>
        <v/>
      </c>
    </row>
    <row r="4">
      <c r="A4" t="inlineStr">
        <is>
          <t>Transceivers</t>
        </is>
      </c>
      <c r="B4" t="inlineStr">
        <is>
          <t>MMS4C10</t>
        </is>
      </c>
      <c r="C4" t="inlineStr">
        <is>
          <t>RHS/FRO Gen2 (XDR)</t>
        </is>
      </c>
      <c r="E4" t="inlineStr">
        <is>
          <t>active</t>
        </is>
      </c>
      <c r="F4" t="inlineStr">
        <is>
          <t>—</t>
        </is>
      </c>
      <c r="G4" t="inlineStr">
        <is>
          <t>980-9IAU0-00XM00</t>
        </is>
      </c>
      <c r="H4" t="inlineStr">
        <is>
          <t>1600G</t>
        </is>
      </c>
      <c r="I4" t="inlineStr">
        <is>
          <t>OSFP-flattop</t>
        </is>
      </c>
      <c r="J4" t="inlineStr">
        <is>
          <t>2x 800Gb/s MPO-12/APC</t>
        </is>
      </c>
      <c r="K4" t="inlineStr">
        <is>
          <t>SM</t>
        </is>
      </c>
      <c r="L4" t="inlineStr">
        <is>
          <t>max 500 m</t>
        </is>
      </c>
      <c r="M4" t="inlineStr">
        <is>
          <t>IB</t>
        </is>
      </c>
      <c r="N4" t="inlineStr">
        <is>
          <t>NVIDIA MMS4C1X FRO 1600Gbps, 2xDR4, Twin-port OSFP, 2xMPO (APC), 1310nm Single Mode Transceiver (up to 500m)</t>
        </is>
      </c>
      <c r="O4" s="6" t="inlineStr">
        <is>
          <t>https://networking-docs.nvidia.com/9iau000xmosfptcvr1600</t>
        </is>
      </c>
      <c r="P4" t="inlineStr">
        <is>
          <t>Transceivers MMS4C10 RHS/FRO Gen2 (XDR)  active — 980-9IAU0-00XM00 1600G OSFP-flattop 2x 800Gb/s MPO-12/APC SM max 500 m IB NVIDIA MMS4C1X FRO 1600Gbps, 2xDR4, Twin-port OSFP, 2xMPO (APC), 1310nm Single Mode Transceiver (up to 500m)</t>
        </is>
      </c>
      <c r="Q4">
        <f>IF(AND(Search!$B$2&lt;&gt;"",ISNUMBER(SEARCH(Search!$B$2,P4))),MAX(Q$1:Q3)+1,"")</f>
        <v/>
      </c>
    </row>
    <row r="5">
      <c r="A5" t="inlineStr">
        <is>
          <t>Transceivers</t>
        </is>
      </c>
      <c r="B5" t="inlineStr">
        <is>
          <t>MMS4C10</t>
        </is>
      </c>
      <c r="C5" t="inlineStr">
        <is>
          <t>IHS/FRO Gen2 (XDR)</t>
        </is>
      </c>
      <c r="E5" t="inlineStr">
        <is>
          <t>active</t>
        </is>
      </c>
      <c r="F5" t="inlineStr">
        <is>
          <t>—</t>
        </is>
      </c>
      <c r="G5" t="inlineStr">
        <is>
          <t>980-9IAU0-00XM01</t>
        </is>
      </c>
      <c r="H5" t="inlineStr">
        <is>
          <t>1600G</t>
        </is>
      </c>
      <c r="I5" t="inlineStr">
        <is>
          <t>OSFP-finned</t>
        </is>
      </c>
      <c r="J5" t="inlineStr">
        <is>
          <t>2x 800Gb/s MPO-12/APC</t>
        </is>
      </c>
      <c r="K5" t="inlineStr">
        <is>
          <t>SM</t>
        </is>
      </c>
      <c r="L5" t="inlineStr">
        <is>
          <t>max 500 m</t>
        </is>
      </c>
      <c r="M5" t="inlineStr">
        <is>
          <t>IB</t>
        </is>
      </c>
      <c r="N5" t="inlineStr">
        <is>
          <t>NVIDIA MMS4C1X FRO 1600Gbps, 2xDR4, Twin-port OSFP, 2xMPO (APC), 1310nm Single Mode Transceiver (up to 500m)</t>
        </is>
      </c>
      <c r="O5" s="6" t="inlineStr">
        <is>
          <t>https://networking-docs.nvidia.com/9iau000xmosfptcvr1600</t>
        </is>
      </c>
      <c r="P5" t="inlineStr">
        <is>
          <t>Transceivers MMS4C10 IHS/FRO Gen2 (XDR)  active — 980-9IAU0-00XM01 1600G OSFP-finned 2x 800Gb/s MPO-12/APC SM max 500 m IB NVIDIA MMS4C1X FRO 1600Gbps, 2xDR4, Twin-port OSFP, 2xMPO (APC), 1310nm Single Mode Transceiver (up to 500m)</t>
        </is>
      </c>
      <c r="Q5">
        <f>IF(AND(Search!$B$2&lt;&gt;"",ISNUMBER(SEARCH(Search!$B$2,P5))),MAX(Q$1:Q4)+1,"")</f>
        <v/>
      </c>
    </row>
    <row r="6">
      <c r="A6" t="inlineStr">
        <is>
          <t>Transceivers</t>
        </is>
      </c>
      <c r="B6" t="inlineStr">
        <is>
          <t>MMS4C11</t>
        </is>
      </c>
      <c r="C6" t="inlineStr">
        <is>
          <t>RHS/FRO Gen2 (Ethernet)</t>
        </is>
      </c>
      <c r="E6" t="inlineStr">
        <is>
          <t>active</t>
        </is>
      </c>
      <c r="F6" t="inlineStr">
        <is>
          <t>—</t>
        </is>
      </c>
      <c r="G6" t="inlineStr">
        <is>
          <t>980-9IAU1-00XM00</t>
        </is>
      </c>
      <c r="H6" t="inlineStr">
        <is>
          <t>1600G</t>
        </is>
      </c>
      <c r="I6" t="inlineStr">
        <is>
          <t>OSFP-flattop</t>
        </is>
      </c>
      <c r="J6" t="inlineStr">
        <is>
          <t>2x 800Gb/s MPO-12/APC</t>
        </is>
      </c>
      <c r="K6" t="inlineStr">
        <is>
          <t>SM</t>
        </is>
      </c>
      <c r="L6" t="inlineStr">
        <is>
          <t>max 500 m</t>
        </is>
      </c>
      <c r="M6" t="inlineStr">
        <is>
          <t>ETH</t>
        </is>
      </c>
      <c r="N6" t="inlineStr">
        <is>
          <t>NVIDIA MMS4C1X FRO 1600Gbps, 2xDR4, Twin-port OSFP, 2xMPO (APC), 1310nm Single Mode Transceiver (up to 500m)</t>
        </is>
      </c>
      <c r="O6" s="6" t="inlineStr">
        <is>
          <t>https://networking-docs.nvidia.com/9iau000xmosfptcvr1600</t>
        </is>
      </c>
      <c r="P6" t="inlineStr">
        <is>
          <t>Transceivers MMS4C11 RHS/FRO Gen2 (Ethernet)  active — 980-9IAU1-00XM00 1600G OSFP-flattop 2x 800Gb/s MPO-12/APC SM max 500 m ETH NVIDIA MMS4C1X FRO 1600Gbps, 2xDR4, Twin-port OSFP, 2xMPO (APC), 1310nm Single Mode Transceiver (up to 500m)</t>
        </is>
      </c>
      <c r="Q6">
        <f>IF(AND(Search!$B$2&lt;&gt;"",ISNUMBER(SEARCH(Search!$B$2,P6))),MAX(Q$1:Q5)+1,"")</f>
        <v/>
      </c>
    </row>
    <row r="7">
      <c r="A7" t="inlineStr">
        <is>
          <t>Transceivers</t>
        </is>
      </c>
      <c r="B7" t="inlineStr">
        <is>
          <t>MMS4C11</t>
        </is>
      </c>
      <c r="C7" t="inlineStr">
        <is>
          <t>IHS/FRO Gen2 (Ethernet)</t>
        </is>
      </c>
      <c r="E7" t="inlineStr">
        <is>
          <t>active</t>
        </is>
      </c>
      <c r="F7" t="inlineStr">
        <is>
          <t>—</t>
        </is>
      </c>
      <c r="G7" t="inlineStr">
        <is>
          <t>980-9IAU1-00XM01</t>
        </is>
      </c>
      <c r="H7" t="inlineStr">
        <is>
          <t>1600G</t>
        </is>
      </c>
      <c r="I7" t="inlineStr">
        <is>
          <t>OSFP-finned</t>
        </is>
      </c>
      <c r="J7" t="inlineStr">
        <is>
          <t>2x 800Gb/s MPO-12/APC</t>
        </is>
      </c>
      <c r="K7" t="inlineStr">
        <is>
          <t>SM</t>
        </is>
      </c>
      <c r="L7" t="inlineStr">
        <is>
          <t>max 500 m</t>
        </is>
      </c>
      <c r="M7" t="inlineStr">
        <is>
          <t>ETH</t>
        </is>
      </c>
      <c r="N7" t="inlineStr">
        <is>
          <t>NVIDIA MMS4C1X FRO 1600Gbps, 2xDR4, Twin-port OSFP, 2xMPO (APC), 1310nm Single Mode Transceiver (up to 500m)</t>
        </is>
      </c>
      <c r="O7" s="6" t="inlineStr">
        <is>
          <t>https://networking-docs.nvidia.com/9iau000xmosfptcvr1600</t>
        </is>
      </c>
      <c r="P7" t="inlineStr">
        <is>
          <t>Transceivers MMS4C11 IHS/FRO Gen2 (Ethernet)  active — 980-9IAU1-00XM01 1600G OSFP-finned 2x 800Gb/s MPO-12/APC SM max 500 m ETH NVIDIA MMS4C1X FRO 1600Gbps, 2xDR4, Twin-port OSFP, 2xMPO (APC), 1310nm Single Mode Transceiver (up to 500m)</t>
        </is>
      </c>
      <c r="Q7">
        <f>IF(AND(Search!$B$2&lt;&gt;"",ISNUMBER(SEARCH(Search!$B$2,P7))),MAX(Q$1:Q6)+1,"")</f>
        <v/>
      </c>
    </row>
    <row r="8">
      <c r="A8" t="inlineStr">
        <is>
          <t>Transceivers</t>
        </is>
      </c>
      <c r="B8" t="inlineStr">
        <is>
          <t>MMS4A00</t>
        </is>
      </c>
      <c r="C8" t="inlineStr">
        <is>
          <t>IHS</t>
        </is>
      </c>
      <c r="E8" t="inlineStr">
        <is>
          <t>active</t>
        </is>
      </c>
      <c r="F8" t="inlineStr">
        <is>
          <t>MMS4A00</t>
        </is>
      </c>
      <c r="G8" t="inlineStr">
        <is>
          <t>980-9IAH1-00XM00</t>
        </is>
      </c>
      <c r="H8" t="inlineStr">
        <is>
          <t>1600G</t>
        </is>
      </c>
      <c r="I8" t="inlineStr">
        <is>
          <t>OSFP-finned</t>
        </is>
      </c>
      <c r="J8" t="inlineStr">
        <is>
          <t>2x 800Gb/s MPO-12/APC</t>
        </is>
      </c>
      <c r="K8" t="inlineStr">
        <is>
          <t>SM</t>
        </is>
      </c>
      <c r="L8" t="inlineStr">
        <is>
          <t>max 500 m</t>
        </is>
      </c>
      <c r="M8" t="inlineStr">
        <is>
          <t>IB</t>
        </is>
      </c>
      <c r="N8" t="inlineStr">
        <is>
          <t>NVIDIA MMS4A00 1600Gbps, 2xDR4, Twin-port OSFP, 2xMPO, 1310nm Single Mode Transceiver (up to 500m)</t>
        </is>
      </c>
      <c r="O8" s="6" t="inlineStr">
        <is>
          <t>https://networking-docs.nvidia.com/9iahx00xmosfptcvr1600</t>
        </is>
      </c>
      <c r="P8" t="inlineStr">
        <is>
          <t>Transceivers MMS4A00 IHS  active MMS4A00 980-9IAH1-00XM00 1600G OSFP-finned 2x 800Gb/s MPO-12/APC SM max 500 m IB NVIDIA MMS4A00 1600Gbps, 2xDR4, Twin-port OSFP, 2xMPO, 1310nm Single Mode Transceiver (up to 500m)</t>
        </is>
      </c>
      <c r="Q8">
        <f>IF(AND(Search!$B$2&lt;&gt;"",ISNUMBER(SEARCH(Search!$B$2,P8))),MAX(Q$1:Q7)+1,"")</f>
        <v/>
      </c>
    </row>
    <row r="9">
      <c r="A9" t="inlineStr">
        <is>
          <t>Transceivers</t>
        </is>
      </c>
      <c r="B9" t="inlineStr">
        <is>
          <t>MMS4A00</t>
        </is>
      </c>
      <c r="C9" t="inlineStr">
        <is>
          <t>RHS</t>
        </is>
      </c>
      <c r="E9" t="inlineStr">
        <is>
          <t>planned</t>
        </is>
      </c>
      <c r="F9" t="inlineStr">
        <is>
          <t>—</t>
        </is>
      </c>
      <c r="G9" t="inlineStr">
        <is>
          <t>980-9IAH0-00XM00</t>
        </is>
      </c>
      <c r="H9" t="inlineStr">
        <is>
          <t>1600G</t>
        </is>
      </c>
      <c r="I9" t="inlineStr">
        <is>
          <t>OSFP-flattop</t>
        </is>
      </c>
      <c r="J9" t="inlineStr">
        <is>
          <t>2x 800Gb/s MPO-12/APC</t>
        </is>
      </c>
      <c r="K9" t="inlineStr">
        <is>
          <t>SM</t>
        </is>
      </c>
      <c r="L9" t="inlineStr">
        <is>
          <t>max 500 m</t>
        </is>
      </c>
      <c r="M9" t="inlineStr">
        <is>
          <t>IB</t>
        </is>
      </c>
      <c r="N9" t="inlineStr">
        <is>
          <t>NVIDIA MMS4A00 1600Gbps, 2xDR4, Twin-port OSFP, 2xMPO, 1310nm Single Mode Transceiver (up to 500m)</t>
        </is>
      </c>
      <c r="O9" s="6" t="inlineStr">
        <is>
          <t>https://networking-docs.nvidia.com/9iahx00xmosfptcvr1600</t>
        </is>
      </c>
      <c r="P9" t="inlineStr">
        <is>
          <t>Transceivers MMS4A00 RHS  planned — 980-9IAH0-00XM00 1600G OSFP-flattop 2x 800Gb/s MPO-12/APC SM max 500 m IB NVIDIA MMS4A00 1600Gbps, 2xDR4, Twin-port OSFP, 2xMPO, 1310nm Single Mode Transceiver (up to 500m)</t>
        </is>
      </c>
      <c r="Q9">
        <f>IF(AND(Search!$B$2&lt;&gt;"",ISNUMBER(SEARCH(Search!$B$2,P9))),MAX(Q$1:Q8)+1,"")</f>
        <v/>
      </c>
    </row>
    <row r="10">
      <c r="A10" t="inlineStr">
        <is>
          <t>Transceivers</t>
        </is>
      </c>
      <c r="B10" t="inlineStr">
        <is>
          <t>MMS4A50</t>
        </is>
      </c>
      <c r="C10" t="inlineStr">
        <is>
          <t>RHS</t>
        </is>
      </c>
      <c r="E10" t="inlineStr">
        <is>
          <t>active</t>
        </is>
      </c>
      <c r="F10" t="inlineStr">
        <is>
          <t>—</t>
        </is>
      </c>
      <c r="G10" t="inlineStr">
        <is>
          <t>980-9IAS1-00XM00</t>
        </is>
      </c>
      <c r="H10" t="inlineStr">
        <is>
          <t>1600G</t>
        </is>
      </c>
      <c r="I10" t="inlineStr">
        <is>
          <t>OSFP-flattop</t>
        </is>
      </c>
      <c r="J10" t="inlineStr">
        <is>
          <t>2x 800Gb/s Dual LC Duplex</t>
        </is>
      </c>
      <c r="K10" t="inlineStr">
        <is>
          <t>SM</t>
        </is>
      </c>
      <c r="L10" t="inlineStr">
        <is>
          <t>max 2000 m</t>
        </is>
      </c>
      <c r="M10" t="inlineStr">
        <is>
          <t>IB/ETH</t>
        </is>
      </c>
      <c r="N10" t="inlineStr">
        <is>
          <t>NVIDIA MMS4A50 1600Gbps, OSFP, 2xLC-LC, 1310nm SMF, 2xFR4 Twin-port Transceiver (up to 2km)</t>
        </is>
      </c>
      <c r="O10" s="6" t="inlineStr">
        <is>
          <t>https://networking-docs.nvidia.com/mms4a501600gosfp</t>
        </is>
      </c>
      <c r="P10" t="inlineStr">
        <is>
          <t>Transceivers MMS4A50 RHS  active — 980-9IAS1-00XM00 1600G OSFP-flattop 2x 800Gb/s Dual LC Duplex SM max 2000 m IB/ETH NVIDIA MMS4A50 1600Gbps, OSFP, 2xLC-LC, 1310nm SMF, 2xFR4 Twin-port Transceiver (up to 2km)</t>
        </is>
      </c>
      <c r="Q10">
        <f>IF(AND(Search!$B$2&lt;&gt;"",ISNUMBER(SEARCH(Search!$B$2,P10))),MAX(Q$1:Q9)+1,"")</f>
        <v/>
      </c>
    </row>
    <row r="11">
      <c r="A11" t="inlineStr">
        <is>
          <t>Transceivers</t>
        </is>
      </c>
      <c r="B11" t="inlineStr">
        <is>
          <t>MMS4A50</t>
        </is>
      </c>
      <c r="C11" t="inlineStr">
        <is>
          <t>IHS</t>
        </is>
      </c>
      <c r="E11" t="inlineStr">
        <is>
          <t>active</t>
        </is>
      </c>
      <c r="F11" t="inlineStr">
        <is>
          <t>—</t>
        </is>
      </c>
      <c r="G11" t="inlineStr">
        <is>
          <t>980-9IAS0-00XM00</t>
        </is>
      </c>
      <c r="H11" t="inlineStr">
        <is>
          <t>1600G</t>
        </is>
      </c>
      <c r="I11" t="inlineStr">
        <is>
          <t>OSFP-finned</t>
        </is>
      </c>
      <c r="J11" t="inlineStr">
        <is>
          <t>2x 800Gb/s Dual LC Duplex</t>
        </is>
      </c>
      <c r="K11" t="inlineStr">
        <is>
          <t>SM</t>
        </is>
      </c>
      <c r="L11" t="inlineStr">
        <is>
          <t>max 2000 m</t>
        </is>
      </c>
      <c r="M11" t="inlineStr">
        <is>
          <t>IB/ETH</t>
        </is>
      </c>
      <c r="N11" t="inlineStr">
        <is>
          <t>NVIDIA MMS4A50 1600Gbps, OSFP, 2xLC-LC, 1310nm SMF, 2xFR4 Twin-port Transceiver (up to 2km)</t>
        </is>
      </c>
      <c r="O11" s="6" t="inlineStr">
        <is>
          <t>https://networking-docs.nvidia.com/mms4a501600gosfp</t>
        </is>
      </c>
      <c r="P11" t="inlineStr">
        <is>
          <t>Transceivers MMS4A50 IHS  active — 980-9IAS0-00XM00 1600G OSFP-finned 2x 800Gb/s Dual LC Duplex SM max 2000 m IB/ETH NVIDIA MMS4A50 1600Gbps, OSFP, 2xLC-LC, 1310nm SMF, 2xFR4 Twin-port Transceiver (up to 2km)</t>
        </is>
      </c>
      <c r="Q11">
        <f>IF(AND(Search!$B$2&lt;&gt;"",ISNUMBER(SEARCH(Search!$B$2,P11))),MAX(Q$1:Q10)+1,"")</f>
        <v/>
      </c>
    </row>
    <row r="12">
      <c r="A12" t="inlineStr">
        <is>
          <t>Transceivers</t>
        </is>
      </c>
      <c r="B12" t="inlineStr">
        <is>
          <t>MMA1Z00-NS400</t>
        </is>
      </c>
      <c r="C12" t="inlineStr">
        <is>
          <t>—</t>
        </is>
      </c>
      <c r="E12" t="inlineStr">
        <is>
          <t>active</t>
        </is>
      </c>
      <c r="F12" t="inlineStr">
        <is>
          <t>MMA1Z00-NS400</t>
        </is>
      </c>
      <c r="G12" t="inlineStr">
        <is>
          <t>980-9I693-00NS00</t>
        </is>
      </c>
      <c r="H12" t="inlineStr">
        <is>
          <t>400G</t>
        </is>
      </c>
      <c r="I12" t="inlineStr">
        <is>
          <t>QSFP112</t>
        </is>
      </c>
      <c r="J12" t="inlineStr">
        <is>
          <t>1x 400Gb/s MPO-12/APC</t>
        </is>
      </c>
      <c r="K12" t="inlineStr">
        <is>
          <t>MM</t>
        </is>
      </c>
      <c r="L12" t="inlineStr">
        <is>
          <t>OM3 30 m, OM4 50 m, max 50 m</t>
        </is>
      </c>
      <c r="M12" t="inlineStr">
        <is>
          <t>IB/ETH</t>
        </is>
      </c>
      <c r="N12" t="inlineStr">
        <is>
          <t>MMA1Z00-NS400 400Gb/s, Single-port, QSFP112 Multimode SR4 Transceivers Product Specifications</t>
        </is>
      </c>
      <c r="O12" s="6" t="inlineStr">
        <is>
          <t>https://networking-docs.nvidia.com/mms1z00ns400sr4</t>
        </is>
      </c>
      <c r="P12" t="inlineStr">
        <is>
          <t>Transceivers MMA1Z00-NS400 —  active MMA1Z00-NS400 980-9I693-00NS00 400G QSFP112 1x 400Gb/s MPO-12/APC MM OM3 30 m, OM4 50 m, max 50 m IB/ETH MMA1Z00-NS400 400Gb/s, Single-port, QSFP112 Multimode SR4 Transceivers Product Specifications</t>
        </is>
      </c>
      <c r="Q12">
        <f>IF(AND(Search!$B$2&lt;&gt;"",ISNUMBER(SEARCH(Search!$B$2,P12))),MAX(Q$1:Q11)+1,"")</f>
        <v/>
      </c>
    </row>
    <row r="13">
      <c r="A13" t="inlineStr">
        <is>
          <t>Transceivers</t>
        </is>
      </c>
      <c r="B13" t="inlineStr">
        <is>
          <t>MMS1V00-WM</t>
        </is>
      </c>
      <c r="C13" t="inlineStr">
        <is>
          <t>—</t>
        </is>
      </c>
      <c r="E13" t="inlineStr">
        <is>
          <t>active</t>
        </is>
      </c>
      <c r="F13" t="inlineStr">
        <is>
          <t>MMS1V00-WM</t>
        </is>
      </c>
      <c r="G13" t="inlineStr">
        <is>
          <t>980-9I16Y-00W000</t>
        </is>
      </c>
      <c r="H13" t="inlineStr">
        <is>
          <t>400G</t>
        </is>
      </c>
      <c r="I13" t="inlineStr">
        <is>
          <t>QSFP-DD</t>
        </is>
      </c>
      <c r="J13" t="inlineStr">
        <is>
          <t>1x 400Gb/s MPO-12/APC</t>
        </is>
      </c>
      <c r="K13" t="inlineStr">
        <is>
          <t>SM</t>
        </is>
      </c>
      <c r="L13" t="inlineStr">
        <is>
          <t>max 500 m</t>
        </is>
      </c>
      <c r="M13" t="inlineStr">
        <is>
          <t>ETH</t>
        </is>
      </c>
      <c r="N13" t="inlineStr">
        <is>
          <t>MMS1V00-WM 400GbE QSFP-DD DR4 Transceiver Product Specifications</t>
        </is>
      </c>
      <c r="O13" s="6" t="inlineStr">
        <is>
          <t>https://networking-docs.nvidia.com/mms1v00wm10</t>
        </is>
      </c>
      <c r="P13" t="inlineStr">
        <is>
          <t>Transceivers MMS1V00-WM —  active MMS1V00-WM 980-9I16Y-00W000 400G QSFP-DD 1x 400Gb/s MPO-12/APC SM max 500 m ETH MMS1V00-WM 400GbE QSFP-DD DR4 Transceiver Product Specifications</t>
        </is>
      </c>
      <c r="Q13">
        <f>IF(AND(Search!$B$2&lt;&gt;"",ISNUMBER(SEARCH(Search!$B$2,P13))),MAX(Q$1:Q12)+1,"")</f>
        <v/>
      </c>
    </row>
    <row r="14">
      <c r="A14" t="inlineStr">
        <is>
          <t>Transceivers</t>
        </is>
      </c>
      <c r="B14" t="inlineStr">
        <is>
          <t>MMS4X00-NS400</t>
        </is>
      </c>
      <c r="C14" t="inlineStr">
        <is>
          <t>—</t>
        </is>
      </c>
      <c r="E14" t="inlineStr">
        <is>
          <t>active</t>
        </is>
      </c>
      <c r="F14" t="inlineStr">
        <is>
          <t>MMS4X00-NS400</t>
        </is>
      </c>
      <c r="G14" t="inlineStr">
        <is>
          <t>980-9I31N-00NM00</t>
        </is>
      </c>
      <c r="H14" t="inlineStr">
        <is>
          <t>400G</t>
        </is>
      </c>
      <c r="I14" t="inlineStr">
        <is>
          <t>OSFP-flattop</t>
        </is>
      </c>
      <c r="J14" t="inlineStr">
        <is>
          <t>1x 400Gb/s MPO-12/APC</t>
        </is>
      </c>
      <c r="K14" t="inlineStr">
        <is>
          <t>SM</t>
        </is>
      </c>
      <c r="L14" t="inlineStr">
        <is>
          <t>max 100 m</t>
        </is>
      </c>
      <c r="M14" t="inlineStr">
        <is>
          <t>IB/ETH</t>
        </is>
      </c>
      <c r="N14" t="inlineStr">
        <is>
          <t>MMS4X00-NS400 400Gb/s Single-port OSFP Single Mode DR4 Transceivers Product Specifications</t>
        </is>
      </c>
      <c r="O14" s="6" t="inlineStr">
        <is>
          <t>https://networking-docs.nvidia.com/mms4x00ns400</t>
        </is>
      </c>
      <c r="P14" t="inlineStr">
        <is>
          <t>Transceivers MMS4X00-NS400 —  active MMS4X00-NS400 980-9I31N-00NM00 400G OSFP-flattop 1x 400Gb/s MPO-12/APC SM max 100 m IB/ETH MMS4X00-NS400 400Gb/s Single-port OSFP Single Mode DR4 Transceivers Product Specifications</t>
        </is>
      </c>
      <c r="Q14">
        <f>IF(AND(Search!$B$2&lt;&gt;"",ISNUMBER(SEARCH(Search!$B$2,P14))),MAX(Q$1:Q13)+1,"")</f>
        <v/>
      </c>
    </row>
    <row r="15">
      <c r="A15" t="inlineStr">
        <is>
          <t>Transceivers</t>
        </is>
      </c>
      <c r="B15" t="inlineStr">
        <is>
          <t>MMA4Z00-NS400</t>
        </is>
      </c>
      <c r="C15" t="inlineStr">
        <is>
          <t>—</t>
        </is>
      </c>
      <c r="E15" t="inlineStr">
        <is>
          <t>active</t>
        </is>
      </c>
      <c r="F15" t="inlineStr">
        <is>
          <t>MMA4Z00-NS400</t>
        </is>
      </c>
      <c r="G15" t="inlineStr">
        <is>
          <t>980-9I51S-00NS00</t>
        </is>
      </c>
      <c r="H15" t="inlineStr">
        <is>
          <t>400G</t>
        </is>
      </c>
      <c r="I15" t="inlineStr">
        <is>
          <t>OSFP-flattop</t>
        </is>
      </c>
      <c r="J15" t="inlineStr">
        <is>
          <t>1x 400Gb/s MPO-12/APC</t>
        </is>
      </c>
      <c r="K15" t="inlineStr">
        <is>
          <t>MM</t>
        </is>
      </c>
      <c r="L15" t="inlineStr">
        <is>
          <t>OM3 30 m, OM4 50 m, max 50 m</t>
        </is>
      </c>
      <c r="M15" t="inlineStr">
        <is>
          <t>IB/ETH</t>
        </is>
      </c>
      <c r="N15" t="inlineStr">
        <is>
          <t>MMA4Z00-NS400 400Gb/s Single-port OSFP 400Gb/s Multimode SR4 50m</t>
        </is>
      </c>
      <c r="O15" s="6" t="inlineStr">
        <is>
          <t>https://networking-docs.nvidia.com/mma4z00ns400</t>
        </is>
      </c>
      <c r="P15" t="inlineStr">
        <is>
          <t>Transceivers MMA4Z00-NS400 —  active MMA4Z00-NS400 980-9I51S-00NS00 400G OSFP-flattop 1x 400Gb/s MPO-12/APC MM OM3 30 m, OM4 50 m, max 50 m IB/ETH MMA4Z00-NS400 400Gb/s Single-port OSFP 400Gb/s Multimode SR4 50m</t>
        </is>
      </c>
      <c r="Q15">
        <f>IF(AND(Search!$B$2&lt;&gt;"",ISNUMBER(SEARCH(Search!$B$2,P15))),MAX(Q$1:Q14)+1,"")</f>
        <v/>
      </c>
    </row>
    <row r="16">
      <c r="A16" t="inlineStr">
        <is>
          <t>Transceivers</t>
        </is>
      </c>
      <c r="B16" t="inlineStr">
        <is>
          <t>MMA4Z00-NS400-T</t>
        </is>
      </c>
      <c r="C16" t="inlineStr">
        <is>
          <t>—</t>
        </is>
      </c>
      <c r="E16" t="inlineStr">
        <is>
          <t>active</t>
        </is>
      </c>
      <c r="F16" t="inlineStr">
        <is>
          <t>MMA4Z00-NS400-T</t>
        </is>
      </c>
      <c r="G16" t="inlineStr">
        <is>
          <t>980-9I51S-F4NS00</t>
        </is>
      </c>
      <c r="H16" t="inlineStr">
        <is>
          <t>400G</t>
        </is>
      </c>
      <c r="I16" t="inlineStr">
        <is>
          <t>OSFP-flattop</t>
        </is>
      </c>
      <c r="J16" t="inlineStr">
        <is>
          <t>1x 400Gb/s MPO-12/APC</t>
        </is>
      </c>
      <c r="K16" t="inlineStr">
        <is>
          <t>MM</t>
        </is>
      </c>
      <c r="L16" t="inlineStr">
        <is>
          <t>max 50 m</t>
        </is>
      </c>
      <c r="M16" t="inlineStr">
        <is>
          <t>ETH</t>
        </is>
      </c>
      <c r="N16" t="inlineStr">
        <is>
          <t>MMA4Z00-NS400-T 400Gb/s Single-port OSFP 400Gb/s Multimode 50m</t>
        </is>
      </c>
      <c r="O16" s="6" t="inlineStr">
        <is>
          <t>https://networking-docs.nvidia.com/mma4z00ns400t</t>
        </is>
      </c>
      <c r="P16" t="inlineStr">
        <is>
          <t>Transceivers MMA4Z00-NS400-T —  active MMA4Z00-NS400-T 980-9I51S-F4NS00 400G OSFP-flattop 1x 400Gb/s MPO-12/APC MM max 50 m ETH MMA4Z00-NS400-T 400Gb/s Single-port OSFP 400Gb/s Multimode 50m</t>
        </is>
      </c>
      <c r="Q16">
        <f>IF(AND(Search!$B$2&lt;&gt;"",ISNUMBER(SEARCH(Search!$B$2,P16))),MAX(Q$1:Q15)+1,"")</f>
        <v/>
      </c>
    </row>
    <row r="17">
      <c r="A17" t="inlineStr">
        <is>
          <t>Transceivers</t>
        </is>
      </c>
      <c r="B17" t="inlineStr">
        <is>
          <t>MMA1Z00-NS400-T</t>
        </is>
      </c>
      <c r="C17" t="inlineStr">
        <is>
          <t>—</t>
        </is>
      </c>
      <c r="E17" t="inlineStr">
        <is>
          <t>active</t>
        </is>
      </c>
      <c r="F17" t="inlineStr">
        <is>
          <t>MMA1Z00-NS400-T</t>
        </is>
      </c>
      <c r="G17" t="inlineStr">
        <is>
          <t>980-9I693-F4NS00</t>
        </is>
      </c>
      <c r="H17" t="inlineStr">
        <is>
          <t>400G</t>
        </is>
      </c>
      <c r="I17" t="inlineStr">
        <is>
          <t>QSFP112</t>
        </is>
      </c>
      <c r="J17" t="inlineStr">
        <is>
          <t>1x 400Gb/s MPO-12/APC</t>
        </is>
      </c>
      <c r="K17" t="inlineStr">
        <is>
          <t>MM</t>
        </is>
      </c>
      <c r="L17" t="inlineStr">
        <is>
          <t>max 50 m</t>
        </is>
      </c>
      <c r="M17" t="inlineStr">
        <is>
          <t>ETH</t>
        </is>
      </c>
      <c r="N17" t="inlineStr">
        <is>
          <t>NVIDIA MMA1Z00-NS400-T 400Gb/s, Single-port, QSFP112 Multimode Transceivers Product Specifications</t>
        </is>
      </c>
      <c r="O17" s="6" t="inlineStr">
        <is>
          <t>https://networking-docs.nvidia.com/mma1z00ns400t</t>
        </is>
      </c>
      <c r="P17" t="inlineStr">
        <is>
          <t>Transceivers MMA1Z00-NS400-T —  active MMA1Z00-NS400-T 980-9I693-F4NS00 400G QSFP112 1x 400Gb/s MPO-12/APC MM max 50 m ETH NVIDIA MMA1Z00-NS400-T 400Gb/s, Single-port, QSFP112 Multimode Transceivers Product Specifications</t>
        </is>
      </c>
      <c r="Q17">
        <f>IF(AND(Search!$B$2&lt;&gt;"",ISNUMBER(SEARCH(Search!$B$2,P17))),MAX(Q$1:Q16)+1,"")</f>
        <v/>
      </c>
    </row>
    <row r="18">
      <c r="A18" t="inlineStr">
        <is>
          <t>Transceivers</t>
        </is>
      </c>
      <c r="B18" t="inlineStr">
        <is>
          <t>MMS1X00-NS400</t>
        </is>
      </c>
      <c r="C18" t="inlineStr">
        <is>
          <t>—</t>
        </is>
      </c>
      <c r="E18" t="inlineStr">
        <is>
          <t>active</t>
        </is>
      </c>
      <c r="F18" t="inlineStr">
        <is>
          <t>MMS1X00-NS400</t>
        </is>
      </c>
      <c r="G18" t="inlineStr">
        <is>
          <t>980-9I068-00NM00</t>
        </is>
      </c>
      <c r="H18" t="inlineStr">
        <is>
          <t>400G</t>
        </is>
      </c>
      <c r="I18" t="inlineStr">
        <is>
          <t>QSFP112</t>
        </is>
      </c>
      <c r="J18" t="inlineStr">
        <is>
          <t>1x 400Gb/s MPO-12/APC</t>
        </is>
      </c>
      <c r="K18" t="inlineStr">
        <is>
          <t>SM</t>
        </is>
      </c>
      <c r="L18" t="inlineStr">
        <is>
          <t>max 500 m, ordering_descriptionax 100 m</t>
        </is>
      </c>
      <c r="M18" t="inlineStr">
        <is>
          <t>IB/ETH</t>
        </is>
      </c>
      <c r="N18" t="inlineStr">
        <is>
          <t>NVIDIA MMS1X00-NS400 400Gb/s Single-port QSFP112 Single Mode Transceivers Product Specifications</t>
        </is>
      </c>
      <c r="O18" s="6" t="inlineStr">
        <is>
          <t>https://networking-docs.nvidia.com/mms1x00ns400</t>
        </is>
      </c>
      <c r="P18" t="inlineStr">
        <is>
          <t>Transceivers MMS1X00-NS400 —  active MMS1X00-NS400 980-9I068-00NM00 400G QSFP112 1x 400Gb/s MPO-12/APC SM max 500 m, ordering_descriptionax 100 m IB/ETH NVIDIA MMS1X00-NS400 400Gb/s Single-port QSFP112 Single Mode Transceivers Product Specifications</t>
        </is>
      </c>
      <c r="Q18">
        <f>IF(AND(Search!$B$2&lt;&gt;"",ISNUMBER(SEARCH(Search!$B$2,P18))),MAX(Q$1:Q17)+1,"")</f>
        <v/>
      </c>
    </row>
    <row r="19">
      <c r="A19" t="inlineStr">
        <is>
          <t>Transceivers</t>
        </is>
      </c>
      <c r="B19" t="inlineStr">
        <is>
          <t>MMS1V70-CM</t>
        </is>
      </c>
      <c r="C19" t="inlineStr">
        <is>
          <t>—</t>
        </is>
      </c>
      <c r="E19" t="inlineStr">
        <is>
          <t>active</t>
        </is>
      </c>
      <c r="F19" t="inlineStr">
        <is>
          <t>MMS1V70-CM</t>
        </is>
      </c>
      <c r="G19" t="inlineStr">
        <is>
          <t>980-9I042-00C000</t>
        </is>
      </c>
      <c r="H19" t="inlineStr">
        <is>
          <t>100G</t>
        </is>
      </c>
      <c r="I19" t="inlineStr">
        <is>
          <t>QSFP28</t>
        </is>
      </c>
      <c r="J19" t="inlineStr">
        <is>
          <t>1x 100Gb/s LC duplex</t>
        </is>
      </c>
      <c r="K19" t="inlineStr">
        <is>
          <t>SM</t>
        </is>
      </c>
      <c r="L19" t="inlineStr">
        <is>
          <t>max 500 m</t>
        </is>
      </c>
      <c r="M19" t="inlineStr">
        <is>
          <t>ETH</t>
        </is>
      </c>
      <c r="N19" t="inlineStr">
        <is>
          <t>MMS1V70-CM 100GbE QSFP28 DR1</t>
        </is>
      </c>
      <c r="O19" s="6" t="inlineStr">
        <is>
          <t>https://networking-docs.nvidia.com/mms1v70cm10</t>
        </is>
      </c>
      <c r="P19" t="inlineStr">
        <is>
          <t>Transceivers MMS1V70-CM —  active MMS1V70-CM 980-9I042-00C000 100G QSFP28 1x 100Gb/s LC duplex SM max 500 m ETH MMS1V70-CM 100GbE QSFP28 DR1</t>
        </is>
      </c>
      <c r="Q19">
        <f>IF(AND(Search!$B$2&lt;&gt;"",ISNUMBER(SEARCH(Search!$B$2,P19))),MAX(Q$1:Q18)+1,"")</f>
        <v/>
      </c>
    </row>
    <row r="20">
      <c r="A20" t="inlineStr">
        <is>
          <t>Transceivers</t>
        </is>
      </c>
      <c r="B20" t="inlineStr">
        <is>
          <t>MMA1B00-C100D</t>
        </is>
      </c>
      <c r="C20" t="inlineStr">
        <is>
          <t>—</t>
        </is>
      </c>
      <c r="E20" t="inlineStr">
        <is>
          <t>active</t>
        </is>
      </c>
      <c r="F20" t="inlineStr">
        <is>
          <t>MMA1B00-C100D</t>
        </is>
      </c>
      <c r="G20" t="inlineStr">
        <is>
          <t>980-9I149-00CS00</t>
        </is>
      </c>
      <c r="H20" t="inlineStr">
        <is>
          <t>100G</t>
        </is>
      </c>
      <c r="I20" t="inlineStr">
        <is>
          <t>QSFP28</t>
        </is>
      </c>
      <c r="J20" t="inlineStr">
        <is>
          <t>1x 100Gb/s MPO-12/UPC</t>
        </is>
      </c>
      <c r="K20" t="inlineStr">
        <is>
          <t>MM</t>
        </is>
      </c>
      <c r="L20" t="inlineStr">
        <is>
          <t>OM3 70 m, OM4 100 m, max 100 m</t>
        </is>
      </c>
      <c r="M20" t="inlineStr">
        <is>
          <t>ETH</t>
        </is>
      </c>
      <c r="N20" t="inlineStr">
        <is>
          <t>MMA1B00-C100D 100GbE QSFP28 MMF SR4</t>
        </is>
      </c>
      <c r="O20" s="6" t="inlineStr">
        <is>
          <t>https://networking-docs.nvidia.com/mma1b00c100dspec</t>
        </is>
      </c>
      <c r="P20" t="inlineStr">
        <is>
          <t>Transceivers MMA1B00-C100D —  active MMA1B00-C100D 980-9I149-00CS00 100G QSFP28 1x 100Gb/s MPO-12/UPC MM OM3 70 m, OM4 100 m, max 100 m ETH MMA1B00-C100D 100GbE QSFP28 MMF SR4</t>
        </is>
      </c>
      <c r="Q20">
        <f>IF(AND(Search!$B$2&lt;&gt;"",ISNUMBER(SEARCH(Search!$B$2,P20))),MAX(Q$1:Q19)+1,"")</f>
        <v/>
      </c>
    </row>
    <row r="21">
      <c r="A21" t="inlineStr">
        <is>
          <t>Transceivers</t>
        </is>
      </c>
      <c r="B21" t="inlineStr">
        <is>
          <t>MMS4C10-XM800</t>
        </is>
      </c>
      <c r="C21" t="inlineStr">
        <is>
          <t>RHS/FRO Gen2</t>
        </is>
      </c>
      <c r="E21" t="inlineStr">
        <is>
          <t>prototype</t>
        </is>
      </c>
      <c r="F21" t="inlineStr">
        <is>
          <t>—</t>
        </is>
      </c>
      <c r="G21" t="inlineStr">
        <is>
          <t>980-9IAY0-00XM00</t>
        </is>
      </c>
      <c r="H21" t="inlineStr">
        <is>
          <t>800G</t>
        </is>
      </c>
      <c r="I21" t="inlineStr">
        <is>
          <t>OSFP-flattop</t>
        </is>
      </c>
      <c r="J21" t="inlineStr">
        <is>
          <t>1x 800Gb/s MPO-12/APC</t>
        </is>
      </c>
      <c r="K21" t="inlineStr">
        <is>
          <t>SM</t>
        </is>
      </c>
      <c r="L21" t="inlineStr">
        <is>
          <t>max 500 m</t>
        </is>
      </c>
      <c r="M21" t="inlineStr">
        <is>
          <t>IB/ETH</t>
        </is>
      </c>
      <c r="N21" t="inlineStr">
        <is>
          <t>NVIDIA MMS4C10-XM800 800Gbps, 2xDR4, Twin-port OSFP, 2xMPO (APC), 1310nm Single Mode Transceiver</t>
        </is>
      </c>
      <c r="O21" s="6" t="inlineStr">
        <is>
          <t>https://networking-docs.nvidia.com/mms4c1x800</t>
        </is>
      </c>
      <c r="P21" t="inlineStr">
        <is>
          <t>Transceivers MMS4C10-XM800 RHS/FRO Gen2  prototype — 980-9IAY0-00XM00 800G OSFP-flattop 1x 800Gb/s MPO-12/APC SM max 500 m IB/ETH NVIDIA MMS4C10-XM800 800Gbps, 2xDR4, Twin-port OSFP, 2xMPO (APC), 1310nm Single Mode Transceiver</t>
        </is>
      </c>
      <c r="Q21">
        <f>IF(AND(Search!$B$2&lt;&gt;"",ISNUMBER(SEARCH(Search!$B$2,P21))),MAX(Q$1:Q20)+1,"")</f>
        <v/>
      </c>
    </row>
    <row r="22">
      <c r="A22" t="inlineStr">
        <is>
          <t>Transceivers</t>
        </is>
      </c>
      <c r="B22" t="inlineStr">
        <is>
          <t>MMS4X00-NM-T</t>
        </is>
      </c>
      <c r="C22" t="inlineStr">
        <is>
          <t>—</t>
        </is>
      </c>
      <c r="E22" t="inlineStr">
        <is>
          <t>active</t>
        </is>
      </c>
      <c r="F22" t="inlineStr">
        <is>
          <t>MMS4X00-NM-T</t>
        </is>
      </c>
      <c r="G22" t="inlineStr">
        <is>
          <t>980-9I30G-F4NM00</t>
        </is>
      </c>
      <c r="H22" t="inlineStr">
        <is>
          <t>800G</t>
        </is>
      </c>
      <c r="I22" t="inlineStr">
        <is>
          <t>OSFP-finned</t>
        </is>
      </c>
      <c r="J22" t="inlineStr">
        <is>
          <t>2x 400Gb/s MPO-12/APC</t>
        </is>
      </c>
      <c r="K22" t="inlineStr">
        <is>
          <t>SM</t>
        </is>
      </c>
      <c r="L22" t="inlineStr">
        <is>
          <t>max 500 m</t>
        </is>
      </c>
      <c r="M22" t="inlineStr">
        <is>
          <t>ETH</t>
        </is>
      </c>
      <c r="N22" t="inlineStr">
        <is>
          <t>MMS4X00-NM-T 800Gbps Twin-port OSFP 2x400Gb/s Single Mode 500m</t>
        </is>
      </c>
      <c r="O22" s="6" t="inlineStr">
        <is>
          <t>https://networking-docs.nvidia.com/mms4x00nmt800g</t>
        </is>
      </c>
      <c r="P22" t="inlineStr">
        <is>
          <t>Transceivers MMS4X00-NM-T —  active MMS4X00-NM-T 980-9I30G-F4NM00 800G OSFP-finned 2x 400Gb/s MPO-12/APC SM max 500 m ETH MMS4X00-NM-T 800Gbps Twin-port OSFP 2x400Gb/s Single Mode 500m</t>
        </is>
      </c>
      <c r="Q22">
        <f>IF(AND(Search!$B$2&lt;&gt;"",ISNUMBER(SEARCH(Search!$B$2,P22))),MAX(Q$1:Q21)+1,"")</f>
        <v/>
      </c>
    </row>
    <row r="23">
      <c r="A23" t="inlineStr">
        <is>
          <t>Transceivers</t>
        </is>
      </c>
      <c r="B23" t="inlineStr">
        <is>
          <t>MMS4X00-NM</t>
        </is>
      </c>
      <c r="C23" t="inlineStr">
        <is>
          <t>finned</t>
        </is>
      </c>
      <c r="E23" t="inlineStr">
        <is>
          <t>active</t>
        </is>
      </c>
      <c r="F23" t="inlineStr">
        <is>
          <t>MMS4X00-NM</t>
        </is>
      </c>
      <c r="G23" t="inlineStr">
        <is>
          <t>980-9I30G-00NM00</t>
        </is>
      </c>
      <c r="H23" t="inlineStr">
        <is>
          <t>800G</t>
        </is>
      </c>
      <c r="I23" t="inlineStr">
        <is>
          <t>OSFP-finned</t>
        </is>
      </c>
      <c r="J23" t="inlineStr">
        <is>
          <t>2x 400Gb/s MPO-12/APC</t>
        </is>
      </c>
      <c r="K23" t="inlineStr">
        <is>
          <t>SM</t>
        </is>
      </c>
      <c r="L23" t="inlineStr">
        <is>
          <t>max 500 m</t>
        </is>
      </c>
      <c r="M23" t="inlineStr">
        <is>
          <t>IB/ETH</t>
        </is>
      </c>
      <c r="N23" t="inlineStr">
        <is>
          <t>MMS4X00-NM 800Gbps Twin-port OSFP 2x400Gb/s InfiniBand and Ethernet Single Mode 2xDR4 500m</t>
        </is>
      </c>
      <c r="O23" s="6" t="inlineStr">
        <is>
          <t>https://networking-docs.nvidia.com/mms4x00nm800g500m</t>
        </is>
      </c>
      <c r="P23" t="inlineStr">
        <is>
          <t>Transceivers MMS4X00-NM finned  active MMS4X00-NM 980-9I30G-00NM00 800G OSFP-finned 2x 400Gb/s MPO-12/APC SM max 500 m IB/ETH MMS4X00-NM 800Gbps Twin-port OSFP 2x400Gb/s InfiniBand and Ethernet Single Mode 2xDR4 500m</t>
        </is>
      </c>
      <c r="Q23">
        <f>IF(AND(Search!$B$2&lt;&gt;"",ISNUMBER(SEARCH(Search!$B$2,P23))),MAX(Q$1:Q22)+1,"")</f>
        <v/>
      </c>
    </row>
    <row r="24">
      <c r="A24" t="inlineStr">
        <is>
          <t>Transceivers</t>
        </is>
      </c>
      <c r="B24" t="inlineStr">
        <is>
          <t>MMS4X00-NM-FLT</t>
        </is>
      </c>
      <c r="C24" t="inlineStr">
        <is>
          <t>flat-top</t>
        </is>
      </c>
      <c r="E24" t="inlineStr">
        <is>
          <t>active</t>
        </is>
      </c>
      <c r="F24" t="inlineStr">
        <is>
          <t>MMS4X00-NM-FLT</t>
        </is>
      </c>
      <c r="G24" t="inlineStr">
        <is>
          <t>980-9I301-00NM00</t>
        </is>
      </c>
      <c r="H24" t="inlineStr">
        <is>
          <t>800G</t>
        </is>
      </c>
      <c r="I24" t="inlineStr">
        <is>
          <t>OSFP-flattop</t>
        </is>
      </c>
      <c r="J24" t="inlineStr">
        <is>
          <t>2x 400Gb/s MPO-12/APC</t>
        </is>
      </c>
      <c r="K24" t="inlineStr">
        <is>
          <t>SM</t>
        </is>
      </c>
      <c r="L24" t="inlineStr">
        <is>
          <t>max 500 m</t>
        </is>
      </c>
      <c r="M24" t="inlineStr">
        <is>
          <t>IB/ETH</t>
        </is>
      </c>
      <c r="N24" t="inlineStr">
        <is>
          <t>MMS4X00-NM 800Gbps Twin-port OSFP 2x400Gb/s InfiniBand and Ethernet Single Mode 2xDR4 500m</t>
        </is>
      </c>
      <c r="O24" s="6" t="inlineStr">
        <is>
          <t>https://networking-docs.nvidia.com/mms4x00nm800g500m</t>
        </is>
      </c>
      <c r="P24" t="inlineStr">
        <is>
          <t>Transceivers MMS4X00-NM-FLT flat-top  active MMS4X00-NM-FLT 980-9I301-00NM00 800G OSFP-flattop 2x 400Gb/s MPO-12/APC SM max 500 m IB/ETH MMS4X00-NM 800Gbps Twin-port OSFP 2x400Gb/s InfiniBand and Ethernet Single Mode 2xDR4 500m</t>
        </is>
      </c>
      <c r="Q24">
        <f>IF(AND(Search!$B$2&lt;&gt;"",ISNUMBER(SEARCH(Search!$B$2,P24))),MAX(Q$1:Q23)+1,"")</f>
        <v/>
      </c>
    </row>
    <row r="25">
      <c r="A25" t="inlineStr">
        <is>
          <t>Transceivers</t>
        </is>
      </c>
      <c r="B25" t="inlineStr">
        <is>
          <t>MMS4X50-NM</t>
        </is>
      </c>
      <c r="C25" t="inlineStr">
        <is>
          <t>—</t>
        </is>
      </c>
      <c r="E25" t="inlineStr">
        <is>
          <t>active</t>
        </is>
      </c>
      <c r="F25" t="inlineStr">
        <is>
          <t>—</t>
        </is>
      </c>
      <c r="G25" t="inlineStr">
        <is>
          <t>980-9I30L-00N000</t>
        </is>
      </c>
      <c r="H25" t="inlineStr">
        <is>
          <t>800G</t>
        </is>
      </c>
      <c r="I25" t="inlineStr">
        <is>
          <t>OSFP-finned</t>
        </is>
      </c>
      <c r="J25" t="inlineStr">
        <is>
          <t>2x 400Gb/s Duplex LC</t>
        </is>
      </c>
      <c r="K25" t="inlineStr">
        <is>
          <t>SM</t>
        </is>
      </c>
      <c r="L25" t="inlineStr">
        <is>
          <t>max 2000 m</t>
        </is>
      </c>
      <c r="M25" t="inlineStr">
        <is>
          <t>IB/ETH</t>
        </is>
      </c>
      <c r="N25" t="inlineStr">
        <is>
          <t>MMS4X50-NM 800Gbps Twin-port OSFP 2xFR4, 2x400Gb/s Single Mode, 2km</t>
        </is>
      </c>
      <c r="O25" s="6" t="inlineStr">
        <is>
          <t>https://networking-docs.nvidia.com/mms4x50nm800g2kmpub</t>
        </is>
      </c>
      <c r="P25" t="inlineStr">
        <is>
          <t>Transceivers MMS4X50-NM —  active — 980-9I30L-00N000 800G OSFP-finned 2x 400Gb/s Duplex LC SM max 2000 m IB/ETH MMS4X50-NM 800Gbps Twin-port OSFP 2xFR4, 2x400Gb/s Single Mode, 2km</t>
        </is>
      </c>
      <c r="Q25">
        <f>IF(AND(Search!$B$2&lt;&gt;"",ISNUMBER(SEARCH(Search!$B$2,P25))),MAX(Q$1:Q24)+1,"")</f>
        <v/>
      </c>
    </row>
    <row r="26">
      <c r="A26" t="inlineStr">
        <is>
          <t>Transceivers</t>
        </is>
      </c>
      <c r="B26" t="inlineStr">
        <is>
          <t>MMS4X00-NS</t>
        </is>
      </c>
      <c r="C26" t="inlineStr">
        <is>
          <t>finned</t>
        </is>
      </c>
      <c r="E26" t="inlineStr">
        <is>
          <t>active</t>
        </is>
      </c>
      <c r="F26" t="inlineStr">
        <is>
          <t>MMS4X00-NS</t>
        </is>
      </c>
      <c r="G26" t="inlineStr">
        <is>
          <t>980-9I30H-00NM00</t>
        </is>
      </c>
      <c r="H26" t="inlineStr">
        <is>
          <t>800G</t>
        </is>
      </c>
      <c r="I26" t="inlineStr">
        <is>
          <t>OSFP-finned</t>
        </is>
      </c>
      <c r="J26" t="inlineStr">
        <is>
          <t>2x 400Gb/s MPO-12/APC</t>
        </is>
      </c>
      <c r="K26" t="inlineStr">
        <is>
          <t>SM</t>
        </is>
      </c>
      <c r="L26" t="inlineStr">
        <is>
          <t>max 100 m</t>
        </is>
      </c>
      <c r="M26" t="inlineStr">
        <is>
          <t>IB/ETH</t>
        </is>
      </c>
      <c r="N26" t="inlineStr">
        <is>
          <t>MMS4X00-NS 800Gbps Twin-port OSFP 2x400Gb/s Single Mode 2xDR4 100m</t>
        </is>
      </c>
      <c r="O26" s="6" t="inlineStr">
        <is>
          <t>https://networking-docs.nvidia.com/800gmms4x00ns</t>
        </is>
      </c>
      <c r="P26" t="inlineStr">
        <is>
          <t>Transceivers MMS4X00-NS finned  active MMS4X00-NS 980-9I30H-00NM00 800G OSFP-finned 2x 400Gb/s MPO-12/APC SM max 100 m IB/ETH MMS4X00-NS 800Gbps Twin-port OSFP 2x400Gb/s Single Mode 2xDR4 100m</t>
        </is>
      </c>
      <c r="Q26">
        <f>IF(AND(Search!$B$2&lt;&gt;"",ISNUMBER(SEARCH(Search!$B$2,P26))),MAX(Q$1:Q25)+1,"")</f>
        <v/>
      </c>
    </row>
    <row r="27">
      <c r="A27" t="inlineStr">
        <is>
          <t>Transceivers</t>
        </is>
      </c>
      <c r="B27" t="inlineStr">
        <is>
          <t>MMS4X00-NS-FLT</t>
        </is>
      </c>
      <c r="C27" t="inlineStr">
        <is>
          <t>flat-top</t>
        </is>
      </c>
      <c r="E27" t="inlineStr">
        <is>
          <t>active</t>
        </is>
      </c>
      <c r="F27" t="inlineStr">
        <is>
          <t>MMS4X00-NS-FLT</t>
        </is>
      </c>
      <c r="G27" t="inlineStr">
        <is>
          <t>980-9I30I-00NM00</t>
        </is>
      </c>
      <c r="H27" t="inlineStr">
        <is>
          <t>800G</t>
        </is>
      </c>
      <c r="I27" t="inlineStr">
        <is>
          <t>OSFP-flattop</t>
        </is>
      </c>
      <c r="J27" t="inlineStr">
        <is>
          <t>2x 400Gb/s MPO-12/APC</t>
        </is>
      </c>
      <c r="K27" t="inlineStr">
        <is>
          <t>SM</t>
        </is>
      </c>
      <c r="L27" t="inlineStr">
        <is>
          <t>max 100 m</t>
        </is>
      </c>
      <c r="M27" t="inlineStr">
        <is>
          <t>IB/ETH</t>
        </is>
      </c>
      <c r="N27" t="inlineStr">
        <is>
          <t>MMS4X00-NS 800Gbps Twin-port OSFP 2x400Gb/s Single Mode 2xDR4 100m</t>
        </is>
      </c>
      <c r="O27" s="6" t="inlineStr">
        <is>
          <t>https://networking-docs.nvidia.com/800gmms4x00ns</t>
        </is>
      </c>
      <c r="P27" t="inlineStr">
        <is>
          <t>Transceivers MMS4X00-NS-FLT flat-top  active MMS4X00-NS-FLT 980-9I30I-00NM00 800G OSFP-flattop 2x 400Gb/s MPO-12/APC SM max 100 m IB/ETH MMS4X00-NS 800Gbps Twin-port OSFP 2x400Gb/s Single Mode 2xDR4 100m</t>
        </is>
      </c>
      <c r="Q27">
        <f>IF(AND(Search!$B$2&lt;&gt;"",ISNUMBER(SEARCH(Search!$B$2,P27))),MAX(Q$1:Q26)+1,"")</f>
        <v/>
      </c>
    </row>
    <row r="28">
      <c r="A28" t="inlineStr">
        <is>
          <t>Transceivers</t>
        </is>
      </c>
      <c r="B28" t="inlineStr">
        <is>
          <t>MMA4Z00-NS-T</t>
        </is>
      </c>
      <c r="C28" t="inlineStr">
        <is>
          <t>—</t>
        </is>
      </c>
      <c r="E28" t="inlineStr">
        <is>
          <t>active</t>
        </is>
      </c>
      <c r="F28" t="inlineStr">
        <is>
          <t>MMA4Z00-NS-T</t>
        </is>
      </c>
      <c r="G28" t="inlineStr">
        <is>
          <t>980-9I510-F4NS00</t>
        </is>
      </c>
      <c r="H28" t="inlineStr">
        <is>
          <t>800G</t>
        </is>
      </c>
      <c r="I28" t="inlineStr">
        <is>
          <t>OSFP-finned</t>
        </is>
      </c>
      <c r="J28" t="inlineStr">
        <is>
          <t>2x 400Gb/s MPO-12/APC</t>
        </is>
      </c>
      <c r="K28" t="inlineStr">
        <is>
          <t>MM</t>
        </is>
      </c>
      <c r="L28" t="inlineStr">
        <is>
          <t>OM3 30 m, OM4 50 m, max 50 m</t>
        </is>
      </c>
      <c r="M28" t="inlineStr">
        <is>
          <t>ETH</t>
        </is>
      </c>
      <c r="N28" t="inlineStr">
        <is>
          <t>MMA4Z00-NS-T 800Gb/s Twin-port OSFP, 2x400Gb/s Multimode, 50m</t>
        </is>
      </c>
      <c r="O28" s="6" t="inlineStr">
        <is>
          <t>https://networking-docs.nvidia.com/800gmma4z00nst</t>
        </is>
      </c>
      <c r="P28" t="inlineStr">
        <is>
          <t>Transceivers MMA4Z00-NS-T —  active MMA4Z00-NS-T 980-9I510-F4NS00 800G OSFP-finned 2x 400Gb/s MPO-12/APC MM OM3 30 m, OM4 50 m, max 50 m ETH MMA4Z00-NS-T 800Gb/s Twin-port OSFP, 2x400Gb/s Multimode, 50m</t>
        </is>
      </c>
      <c r="Q28">
        <f>IF(AND(Search!$B$2&lt;&gt;"",ISNUMBER(SEARCH(Search!$B$2,P28))),MAX(Q$1:Q27)+1,"")</f>
        <v/>
      </c>
    </row>
    <row r="29">
      <c r="A29" t="inlineStr">
        <is>
          <t>Transceivers</t>
        </is>
      </c>
      <c r="B29" t="inlineStr">
        <is>
          <t>MMS4X00-NS-T</t>
        </is>
      </c>
      <c r="C29" t="inlineStr">
        <is>
          <t>—</t>
        </is>
      </c>
      <c r="E29" t="inlineStr">
        <is>
          <t>active</t>
        </is>
      </c>
      <c r="F29" t="inlineStr">
        <is>
          <t>MMS4X00-NS-T</t>
        </is>
      </c>
      <c r="G29" t="inlineStr">
        <is>
          <t>980-9I30H-F4NM00</t>
        </is>
      </c>
      <c r="H29" t="inlineStr">
        <is>
          <t>800G</t>
        </is>
      </c>
      <c r="I29" t="inlineStr">
        <is>
          <t>OSFP-finned</t>
        </is>
      </c>
      <c r="J29" t="inlineStr">
        <is>
          <t>2x 400Gb/s MPO-12/APC</t>
        </is>
      </c>
      <c r="K29" t="inlineStr">
        <is>
          <t>SM</t>
        </is>
      </c>
      <c r="L29" t="inlineStr">
        <is>
          <t>max 100 m</t>
        </is>
      </c>
      <c r="M29" t="inlineStr">
        <is>
          <t>ETH</t>
        </is>
      </c>
      <c r="N29" t="inlineStr">
        <is>
          <t>MMS4X00-NS-T 800Gbps Twin-port OSFP 2x400Gb/s Single Mode 100m</t>
        </is>
      </c>
      <c r="O29" s="6" t="inlineStr">
        <is>
          <t>https://networking-docs.nvidia.com/800gmms4x00nst</t>
        </is>
      </c>
      <c r="P29" t="inlineStr">
        <is>
          <t>Transceivers MMS4X00-NS-T —  active MMS4X00-NS-T 980-9I30H-F4NM00 800G OSFP-finned 2x 400Gb/s MPO-12/APC SM max 100 m ETH MMS4X00-NS-T 800Gbps Twin-port OSFP 2x400Gb/s Single Mode 100m</t>
        </is>
      </c>
      <c r="Q29">
        <f>IF(AND(Search!$B$2&lt;&gt;"",ISNUMBER(SEARCH(Search!$B$2,P29))),MAX(Q$1:Q28)+1,"")</f>
        <v/>
      </c>
    </row>
    <row r="30">
      <c r="A30" t="inlineStr">
        <is>
          <t>Transceivers</t>
        </is>
      </c>
      <c r="B30" t="inlineStr">
        <is>
          <t>MMS4A20</t>
        </is>
      </c>
      <c r="C30" t="inlineStr">
        <is>
          <t>RHS</t>
        </is>
      </c>
      <c r="E30" t="inlineStr">
        <is>
          <t>active</t>
        </is>
      </c>
      <c r="F30" t="inlineStr">
        <is>
          <t>—</t>
        </is>
      </c>
      <c r="G30" t="inlineStr">
        <is>
          <t>980-9IAT0-00XM00</t>
        </is>
      </c>
      <c r="H30" t="inlineStr">
        <is>
          <t>800G</t>
        </is>
      </c>
      <c r="I30" t="inlineStr">
        <is>
          <t>OSFP-flattop</t>
        </is>
      </c>
      <c r="J30" t="inlineStr">
        <is>
          <t>1x 800Gb/s MPO-12/APC</t>
        </is>
      </c>
      <c r="K30" t="inlineStr">
        <is>
          <t>SM</t>
        </is>
      </c>
      <c r="L30" t="inlineStr">
        <is>
          <t>max 500 m</t>
        </is>
      </c>
      <c r="M30" t="inlineStr">
        <is>
          <t>IB</t>
        </is>
      </c>
      <c r="N30" t="inlineStr">
        <is>
          <t>NVIDIA MMS4A20 800Gbps, DR4 Single-port OSFP, MPO, 1310nm Single Mode, RHS (500m) Transceiver</t>
        </is>
      </c>
      <c r="O30" s="6" t="inlineStr">
        <is>
          <t>https://networking-docs.nvidia.com/9iat0mosfp800sprhs</t>
        </is>
      </c>
      <c r="P30" t="inlineStr">
        <is>
          <t>Transceivers MMS4A20 RHS  active — 980-9IAT0-00XM00 800G OSFP-flattop 1x 800Gb/s MPO-12/APC SM max 500 m IB NVIDIA MMS4A20 800Gbps, DR4 Single-port OSFP, MPO, 1310nm Single Mode, RHS (500m) Transceiver</t>
        </is>
      </c>
      <c r="Q30">
        <f>IF(AND(Search!$B$2&lt;&gt;"",ISNUMBER(SEARCH(Search!$B$2,P30))),MAX(Q$1:Q29)+1,"")</f>
        <v/>
      </c>
    </row>
    <row r="31">
      <c r="A31" t="inlineStr">
        <is>
          <t>Transceivers</t>
        </is>
      </c>
      <c r="B31" t="inlineStr">
        <is>
          <t>MMS4X00-NM16</t>
        </is>
      </c>
      <c r="C31" t="inlineStr">
        <is>
          <t>—</t>
        </is>
      </c>
      <c r="E31" t="inlineStr">
        <is>
          <t>active</t>
        </is>
      </c>
      <c r="F31" t="inlineStr">
        <is>
          <t>MMS4X00-NM16</t>
        </is>
      </c>
      <c r="G31" t="inlineStr">
        <is>
          <t>980-9I30J-F4NM00</t>
        </is>
      </c>
      <c r="H31" t="inlineStr">
        <is>
          <t>800G</t>
        </is>
      </c>
      <c r="I31" t="inlineStr">
        <is>
          <t>OSFP-finned</t>
        </is>
      </c>
      <c r="J31" t="inlineStr">
        <is>
          <t>1x 800Gb/s MPO-16/APC</t>
        </is>
      </c>
      <c r="K31" t="inlineStr">
        <is>
          <t>SM</t>
        </is>
      </c>
      <c r="L31" t="inlineStr">
        <is>
          <t>max 500 m</t>
        </is>
      </c>
      <c r="M31" t="inlineStr">
        <is>
          <t>ETH</t>
        </is>
      </c>
      <c r="N31" t="inlineStr">
        <is>
          <t>MMS4X00-NM16 NVIDIA Ethernet 800Gbps OSFP Twin-port Finned Transceiver OSFP 1xMPO16 1310nm SMF up to 500m</t>
        </is>
      </c>
      <c r="O31" s="6" t="inlineStr">
        <is>
          <t>https://networking-docs.nvidia.com/mms4x00nm16</t>
        </is>
      </c>
      <c r="P31" t="inlineStr">
        <is>
          <t>Transceivers MMS4X00-NM16 —  active MMS4X00-NM16 980-9I30J-F4NM00 800G OSFP-finned 1x 800Gb/s MPO-16/APC SM max 500 m ETH MMS4X00-NM16 NVIDIA Ethernet 800Gbps OSFP Twin-port Finned Transceiver OSFP 1xMPO16 1310nm SMF up to 500m</t>
        </is>
      </c>
      <c r="Q31">
        <f>IF(AND(Search!$B$2&lt;&gt;"",ISNUMBER(SEARCH(Search!$B$2,P31))),MAX(Q$1:Q30)+1,"")</f>
        <v/>
      </c>
    </row>
    <row r="32">
      <c r="A32" t="inlineStr">
        <is>
          <t>Transceivers</t>
        </is>
      </c>
      <c r="B32" t="inlineStr">
        <is>
          <t>MMS4X00-NM-HGX</t>
        </is>
      </c>
      <c r="C32" t="inlineStr">
        <is>
          <t>HGX Rubin NVL8</t>
        </is>
      </c>
      <c r="E32" t="inlineStr">
        <is>
          <t>active</t>
        </is>
      </c>
      <c r="F32" t="inlineStr">
        <is>
          <t>MMS4X00-NM-HGX</t>
        </is>
      </c>
      <c r="G32" t="inlineStr">
        <is>
          <t>980-9I302-00NM00</t>
        </is>
      </c>
      <c r="H32" t="inlineStr">
        <is>
          <t>800G</t>
        </is>
      </c>
      <c r="I32" t="inlineStr">
        <is>
          <t>OSFP-flattop</t>
        </is>
      </c>
      <c r="J32" t="inlineStr">
        <is>
          <t>2x 400Gb/s MPO-12/APC</t>
        </is>
      </c>
      <c r="K32" t="inlineStr">
        <is>
          <t>SM</t>
        </is>
      </c>
      <c r="L32" t="inlineStr">
        <is>
          <t>max 500 m</t>
        </is>
      </c>
      <c r="M32" t="inlineStr">
        <is>
          <t>IB/ETH/NVL</t>
        </is>
      </c>
      <c r="N32" t="inlineStr">
        <is>
          <t>MMS4X00-NM-HGX 800Gbps Twin-port OSFP 2x400Gb/s InfiniBand and Ethernet Single Mode 2xDR4 500m</t>
        </is>
      </c>
      <c r="O32" s="6" t="inlineStr">
        <is>
          <t>https://networking-docs.nvidia.com/mms4x00nmhgx500</t>
        </is>
      </c>
      <c r="P32" t="inlineStr">
        <is>
          <t>Transceivers MMS4X00-NM-HGX HGX Rubin NVL8  active MMS4X00-NM-HGX 980-9I302-00NM00 800G OSFP-flattop 2x 400Gb/s MPO-12/APC SM max 500 m IB/ETH/NVL MMS4X00-NM-HGX 800Gbps Twin-port OSFP 2x400Gb/s InfiniBand and Ethernet Single Mode 2xDR4 500m</t>
        </is>
      </c>
      <c r="Q32">
        <f>IF(AND(Search!$B$2&lt;&gt;"",ISNUMBER(SEARCH(Search!$B$2,P32))),MAX(Q$1:Q31)+1,"")</f>
        <v/>
      </c>
    </row>
    <row r="33">
      <c r="A33" t="inlineStr">
        <is>
          <t>Transceivers</t>
        </is>
      </c>
      <c r="B33" t="inlineStr">
        <is>
          <t>MMS4X90-NR</t>
        </is>
      </c>
      <c r="C33" t="inlineStr">
        <is>
          <t>—</t>
        </is>
      </c>
      <c r="E33" t="inlineStr">
        <is>
          <t>active</t>
        </is>
      </c>
      <c r="F33" t="inlineStr">
        <is>
          <t>—</t>
        </is>
      </c>
      <c r="G33" t="inlineStr">
        <is>
          <t>—</t>
        </is>
      </c>
      <c r="H33" t="inlineStr">
        <is>
          <t>800G</t>
        </is>
      </c>
      <c r="I33" t="inlineStr">
        <is>
          <t>OSFP-finned</t>
        </is>
      </c>
      <c r="J33" t="inlineStr">
        <is>
          <t>2x 400Gb/s Duplex LC</t>
        </is>
      </c>
      <c r="K33" t="inlineStr">
        <is>
          <t>SM</t>
        </is>
      </c>
      <c r="L33" t="inlineStr">
        <is>
          <t>max 10000 m</t>
        </is>
      </c>
      <c r="M33" t="inlineStr">
        <is>
          <t>IB/ETH</t>
        </is>
      </c>
      <c r="N33" t="inlineStr">
        <is>
          <t>MMS4X90-NR 800Gbps, 2xLR4, OSFP, 2xLC-LC, 1310nm SMF, Finned Twin-port Transceiver (up to 10km)</t>
        </is>
      </c>
      <c r="O33" s="6" t="inlineStr">
        <is>
          <t>https://networking-docs.nvidia.com/mms4x90nr800g</t>
        </is>
      </c>
      <c r="P33" t="inlineStr">
        <is>
          <t>Transceivers MMS4X90-NR —  active — — 800G OSFP-finned 2x 400Gb/s Duplex LC SM max 10000 m IB/ETH MMS4X90-NR 800Gbps, 2xLR4, OSFP, 2xLC-LC, 1310nm SMF, Finned Twin-port Transceiver (up to 10km)</t>
        </is>
      </c>
      <c r="Q33">
        <f>IF(AND(Search!$B$2&lt;&gt;"",ISNUMBER(SEARCH(Search!$B$2,P33))),MAX(Q$1:Q32)+1,"")</f>
        <v/>
      </c>
    </row>
    <row r="34">
      <c r="A34" t="inlineStr">
        <is>
          <t>Transceivers</t>
        </is>
      </c>
      <c r="B34" t="inlineStr">
        <is>
          <t>MMS1W50-HM</t>
        </is>
      </c>
      <c r="C34" t="inlineStr">
        <is>
          <t>—</t>
        </is>
      </c>
      <c r="E34" t="inlineStr">
        <is>
          <t>active</t>
        </is>
      </c>
      <c r="F34" t="inlineStr">
        <is>
          <t>—</t>
        </is>
      </c>
      <c r="G34" t="inlineStr">
        <is>
          <t>MMS1W50-HM</t>
        </is>
      </c>
      <c r="H34" t="inlineStr">
        <is>
          <t>200G</t>
        </is>
      </c>
      <c r="I34" t="inlineStr">
        <is>
          <t>QSFP56</t>
        </is>
      </c>
      <c r="J34" t="inlineStr">
        <is>
          <t>1x 200Gb/s Duplex LC/UPC</t>
        </is>
      </c>
      <c r="K34" t="inlineStr">
        <is>
          <t>SM</t>
        </is>
      </c>
      <c r="L34" t="inlineStr">
        <is>
          <t>max 2000 m</t>
        </is>
      </c>
      <c r="M34" t="inlineStr">
        <is>
          <t>IB</t>
        </is>
      </c>
      <c r="N34" t="inlineStr">
        <is>
          <t>MMS1W50-HM 200Gb/s QSFP56 FR4</t>
        </is>
      </c>
      <c r="O34" s="6" t="inlineStr">
        <is>
          <t>https://networking-docs.nvidia.com/mms1w50hmspec</t>
        </is>
      </c>
      <c r="P34" t="inlineStr">
        <is>
          <t>Transceivers MMS1W50-HM —  active — MMS1W50-HM 200G QSFP56 1x 200Gb/s Duplex LC/UPC SM max 2000 m IB MMS1W50-HM 200Gb/s QSFP56 FR4</t>
        </is>
      </c>
      <c r="Q34">
        <f>IF(AND(Search!$B$2&lt;&gt;"",ISNUMBER(SEARCH(Search!$B$2,P34))),MAX(Q$1:Q33)+1,"")</f>
        <v/>
      </c>
    </row>
    <row r="35">
      <c r="A35" t="inlineStr">
        <is>
          <t>Transceivers</t>
        </is>
      </c>
      <c r="B35" t="inlineStr">
        <is>
          <t>MMA2P00-AS</t>
        </is>
      </c>
      <c r="C35" t="inlineStr">
        <is>
          <t>—</t>
        </is>
      </c>
      <c r="E35" t="inlineStr">
        <is>
          <t>active</t>
        </is>
      </c>
      <c r="F35" t="inlineStr">
        <is>
          <t>—</t>
        </is>
      </c>
      <c r="G35" t="inlineStr">
        <is>
          <t>MMA2P00-AS</t>
        </is>
      </c>
      <c r="H35" t="inlineStr">
        <is>
          <t>25G</t>
        </is>
      </c>
      <c r="I35" t="inlineStr">
        <is>
          <t>SFP28</t>
        </is>
      </c>
      <c r="J35" t="inlineStr">
        <is>
          <t>1x 25Gb/s Duplex LC/UPC</t>
        </is>
      </c>
      <c r="K35" t="inlineStr">
        <is>
          <t>MM</t>
        </is>
      </c>
      <c r="L35" t="inlineStr">
        <is>
          <t>OM3 70 m, OM4 100 m, max 100 m</t>
        </is>
      </c>
      <c r="M35" t="inlineStr">
        <is>
          <t>ETH</t>
        </is>
      </c>
      <c r="N35" t="inlineStr">
        <is>
          <t>MMA2P00-AS 25GbE SFP28 MMF Transceiver Product Specifications</t>
        </is>
      </c>
      <c r="O35" s="6" t="inlineStr">
        <is>
          <t>https://networking-docs.nvidia.com/mma2p00asspec</t>
        </is>
      </c>
      <c r="P35" t="inlineStr">
        <is>
          <t>Transceivers MMA2P00-AS —  active — MMA2P00-AS 25G SFP28 1x 25Gb/s Duplex LC/UPC MM OM3 70 m, OM4 100 m, max 100 m ETH MMA2P00-AS 25GbE SFP28 MMF Transceiver Product Specifications</t>
        </is>
      </c>
      <c r="Q35">
        <f>IF(AND(Search!$B$2&lt;&gt;"",ISNUMBER(SEARCH(Search!$B$2,P35))),MAX(Q$1:Q34)+1,"")</f>
        <v/>
      </c>
    </row>
    <row r="36">
      <c r="A36" t="inlineStr">
        <is>
          <t>AOC</t>
        </is>
      </c>
      <c r="B36" t="inlineStr">
        <is>
          <t>MFA7U10-H00x</t>
        </is>
      </c>
      <c r="C36" t="inlineStr">
        <is>
          <t>finned OSFP head</t>
        </is>
      </c>
      <c r="E36" t="inlineStr">
        <is>
          <t>active</t>
        </is>
      </c>
      <c r="F36" t="inlineStr">
        <is>
          <t>MFA7U10-H003 / MFA7U10-H005 / MFA7U10-H010 / MFA7U10-H015 / MFA7U10-H020 / MFA7U10-H030</t>
        </is>
      </c>
      <c r="G36" t="inlineStr">
        <is>
          <t>980-9I41X-00H003, 980-9I11Z-00H005, 980-9I111-00H010, 980-9I113-00H015, 980-9I115-00H020, 980-9I117-00H030</t>
        </is>
      </c>
      <c r="H36" t="inlineStr">
        <is>
          <t>400G</t>
        </is>
      </c>
      <c r="I36" t="inlineStr">
        <is>
          <t>OSFP-finned -&gt; 2xQSFP56</t>
        </is>
      </c>
      <c r="J36" t="inlineStr">
        <is>
          <t>2x 2x200Gb/s OSFP to 2xQSFP56</t>
        </is>
      </c>
      <c r="K36" t="inlineStr">
        <is>
          <t>MM</t>
        </is>
      </c>
      <c r="L36" t="inlineStr">
        <is>
          <t>max 30 m</t>
        </is>
      </c>
      <c r="M36" t="inlineStr">
        <is>
          <t>IB/ETH</t>
        </is>
      </c>
      <c r="N36" t="inlineStr">
        <is>
          <t>MFA7U10-H00x 400Gb/s OSFP to 2x200Gb/s QSFP56 HDR Active Optical Splitter Cable</t>
        </is>
      </c>
      <c r="O36" s="6" t="inlineStr">
        <is>
          <t>https://networking-docs.nvidia.com/mfa7u10h00x10</t>
        </is>
      </c>
      <c r="P36" t="inlineStr">
        <is>
          <t>AOC MFA7U10-H00x finned OSFP head  active MFA7U10-H003 / MFA7U10-H005 / MFA7U10-H010 / MFA7U10-H015 / MFA7U10-H020 / MFA7U10-H030 980-9I41X-00H003, 980-9I11Z-00H005, 980-9I111-00H010, 980-9I113-00H015, 980-9I115-00H020, 980-9I117-00H030 400G OSFP-finned -&gt; 2xQSFP56 2x 2x200Gb/s OSFP to 2xQSFP56 MM max 30 m IB/ETH MFA7U10-H00x 400Gb/s OSFP to 2x200Gb/s QSFP56 HDR Active Optical Splitter Cable</t>
        </is>
      </c>
      <c r="Q36">
        <f>IF(AND(Search!$B$2&lt;&gt;"",ISNUMBER(SEARCH(Search!$B$2,P36))),MAX(Q$1:Q35)+1,"")</f>
        <v/>
      </c>
    </row>
    <row r="37">
      <c r="A37" t="inlineStr">
        <is>
          <t>AOC</t>
        </is>
      </c>
      <c r="B37" t="inlineStr">
        <is>
          <t>MFA7U10-H00x-FLT</t>
        </is>
      </c>
      <c r="C37" t="inlineStr">
        <is>
          <t>flat-top OSFP head</t>
        </is>
      </c>
      <c r="E37" t="inlineStr">
        <is>
          <t>active</t>
        </is>
      </c>
      <c r="F37" t="inlineStr">
        <is>
          <t>MFA7U10-H003-FLT / MFA7U10-H005-FLT / MFA7U10-H010-FLT / MFA7U10-H015-FLT / MFA7U10-H020-FLT / MFA7U10-H030-FLT</t>
        </is>
      </c>
      <c r="G37" t="inlineStr">
        <is>
          <t>980-9I41Y-00H003, 980-9I110-00H005, 980-9I112-00H010, 980-9I114-00H015, 980-9I116-00H020, 980-9I118-00H030</t>
        </is>
      </c>
      <c r="H37" t="inlineStr">
        <is>
          <t>400G</t>
        </is>
      </c>
      <c r="I37" t="inlineStr">
        <is>
          <t>OSFP-flattop -&gt; 2xQSFP56</t>
        </is>
      </c>
      <c r="J37" t="inlineStr">
        <is>
          <t>2x 2x200Gb/s OSFP to 2xQSFP56</t>
        </is>
      </c>
      <c r="K37" t="inlineStr">
        <is>
          <t>MM</t>
        </is>
      </c>
      <c r="L37" t="inlineStr">
        <is>
          <t>max 30 m</t>
        </is>
      </c>
      <c r="M37" t="inlineStr">
        <is>
          <t>IB/ETH</t>
        </is>
      </c>
      <c r="N37" t="inlineStr">
        <is>
          <t>MFA7U10-H00x 400Gb/s OSFP to 2x200Gb/s QSFP56 HDR Active Optical Splitter Cable</t>
        </is>
      </c>
      <c r="O37" s="6" t="inlineStr">
        <is>
          <t>https://networking-docs.nvidia.com/mfa7u10h00x10</t>
        </is>
      </c>
      <c r="P37" t="inlineStr">
        <is>
          <t>AOC MFA7U10-H00x-FLT flat-top OSFP head  active MFA7U10-H003-FLT / MFA7U10-H005-FLT / MFA7U10-H010-FLT / MFA7U10-H015-FLT / MFA7U10-H020-FLT / MFA7U10-H030-FLT 980-9I41Y-00H003, 980-9I110-00H005, 980-9I112-00H010, 980-9I114-00H015, 980-9I116-00H020, 980-9I118-00H030 400G OSFP-flattop -&gt; 2xQSFP56 2x 2x200Gb/s OSFP to 2xQSFP56 MM max 30 m IB/ETH MFA7U10-H00x 400Gb/s OSFP to 2x200Gb/s QSFP56 HDR Active Optical Splitter Cable</t>
        </is>
      </c>
      <c r="Q37">
        <f>IF(AND(Search!$B$2&lt;&gt;"",ISNUMBER(SEARCH(Search!$B$2,P37))),MAX(Q$1:Q36)+1,"")</f>
        <v/>
      </c>
    </row>
    <row r="38">
      <c r="A38" t="inlineStr">
        <is>
          <t>AOC</t>
        </is>
      </c>
      <c r="B38" t="inlineStr">
        <is>
          <t>MFS1S00-HxxxV</t>
        </is>
      </c>
      <c r="C38" t="inlineStr">
        <is>
          <t>—</t>
        </is>
      </c>
      <c r="E38" t="inlineStr">
        <is>
          <t>active</t>
        </is>
      </c>
      <c r="F38" t="inlineStr">
        <is>
          <t>MFS1S00-H003V / MFS1S00-H005V / MFS1S00-H010V / MFS1S00-H015V / MFS1S00-H020V / MFS1S00-H030V / MFS1S00-H050V / MFS1S00-H100V</t>
        </is>
      </c>
      <c r="G38" t="inlineStr">
        <is>
          <t>980-9I457-00H003, 980-9I45D-00H005, 980-9I45J-00H010, 980-9I45O-00H015, 980-9I45T-00H020, 980-9I440-00H030, 980-9I447-00H050, 980-9I44H-00H100</t>
        </is>
      </c>
      <c r="H38" t="inlineStr">
        <is>
          <t>200G</t>
        </is>
      </c>
      <c r="I38" t="inlineStr">
        <is>
          <t>QSFP56</t>
        </is>
      </c>
      <c r="J38" t="inlineStr">
        <is>
          <t>1x 200Gb/s QSFP56 to QSFP56</t>
        </is>
      </c>
      <c r="K38" t="inlineStr">
        <is>
          <t>MM</t>
        </is>
      </c>
      <c r="L38" t="inlineStr">
        <is>
          <t>max 100 m</t>
        </is>
      </c>
      <c r="M38" t="inlineStr">
        <is>
          <t>IB/ETH</t>
        </is>
      </c>
      <c r="N38" t="inlineStr">
        <is>
          <t>MFS1S00-HxxxV 200Gb/s QSFP56 MMF AOC Product Specifications</t>
        </is>
      </c>
      <c r="O38" s="6" t="inlineStr">
        <is>
          <t>https://networking-docs.nvidia.com/mfs1s00hxxxv10</t>
        </is>
      </c>
      <c r="P38" t="inlineStr">
        <is>
          <t>AOC MFS1S00-HxxxV —  active MFS1S00-H003V / MFS1S00-H005V / MFS1S00-H010V / MFS1S00-H015V / MFS1S00-H020V / MFS1S00-H030V / MFS1S00-H050V / MFS1S00-H100V 980-9I457-00H003, 980-9I45D-00H005, 980-9I45J-00H010, 980-9I45O-00H015, 980-9I45T-00H020, 980-9I440-00H030, 980-9I447-00H050, 980-9I44H-00H100 200G QSFP56 1x 200Gb/s QSFP56 to QSFP56 MM max 100 m IB/ETH MFS1S00-HxxxV 200Gb/s QSFP56 MMF AOC Product Specifications</t>
        </is>
      </c>
      <c r="Q38">
        <f>IF(AND(Search!$B$2&lt;&gt;"",ISNUMBER(SEARCH(Search!$B$2,P38))),MAX(Q$1:Q37)+1,"")</f>
        <v/>
      </c>
    </row>
    <row r="39">
      <c r="A39" t="inlineStr">
        <is>
          <t>Copper / DAC / ACC</t>
        </is>
      </c>
      <c r="B39" t="inlineStr">
        <is>
          <t>MCA4K00</t>
        </is>
      </c>
      <c r="C39" t="inlineStr">
        <is>
          <t>RHS-to-RHS</t>
        </is>
      </c>
      <c r="E39" t="inlineStr">
        <is>
          <t>active</t>
        </is>
      </c>
      <c r="F39" t="inlineStr">
        <is>
          <t>MCA4K00</t>
        </is>
      </c>
      <c r="G39" t="inlineStr">
        <is>
          <t>980-9IAM1-00X001, 980-9IAM2-00X001, 980-9IAM4-00X001</t>
        </is>
      </c>
      <c r="H39" t="inlineStr">
        <is>
          <t>1600G</t>
        </is>
      </c>
      <c r="I39" t="inlineStr">
        <is>
          <t>OSFP-flattop -&gt; OSFP-flattop</t>
        </is>
      </c>
      <c r="J39" t="inlineStr">
        <is>
          <t>1x 1600Gb/s OSFP to OSFP</t>
        </is>
      </c>
      <c r="K39" t="inlineStr">
        <is>
          <t>Copper</t>
        </is>
      </c>
      <c r="L39" t="inlineStr">
        <is>
          <t>max 1.1 m</t>
        </is>
      </c>
      <c r="M39" t="inlineStr">
        <is>
          <t>IB/ETH/NVL</t>
        </is>
      </c>
      <c r="N39" t="inlineStr">
        <is>
          <t>MCA4K00 1600Gbps to 1600Gbps OSFP Active Copper Cable Product Specifications</t>
        </is>
      </c>
      <c r="O39" s="6" t="inlineStr">
        <is>
          <t>https://networking-docs.nvidia.com/mca4k00hw</t>
        </is>
      </c>
      <c r="P39" t="inlineStr">
        <is>
          <t>Copper / DAC / ACC MCA4K00 RHS-to-RHS  active MCA4K00 980-9IAM1-00X001, 980-9IAM2-00X001, 980-9IAM4-00X001 1600G OSFP-flattop -&gt; OSFP-flattop 1x 1600Gb/s OSFP to OSFP Copper max 1.1 m IB/ETH/NVL MCA4K00 1600Gbps to 1600Gbps OSFP Active Copper Cable Product Specifications</t>
        </is>
      </c>
      <c r="Q39">
        <f>IF(AND(Search!$B$2&lt;&gt;"",ISNUMBER(SEARCH(Search!$B$2,P39))),MAX(Q$1:Q38)+1,"")</f>
        <v/>
      </c>
    </row>
    <row r="40">
      <c r="A40" t="inlineStr">
        <is>
          <t>Copper / DAC / ACC</t>
        </is>
      </c>
      <c r="B40" t="inlineStr">
        <is>
          <t>MCA4K50</t>
        </is>
      </c>
      <c r="C40" t="inlineStr">
        <is>
          <t>IHS-to-IHS</t>
        </is>
      </c>
      <c r="E40" t="inlineStr">
        <is>
          <t>active</t>
        </is>
      </c>
      <c r="F40" t="inlineStr">
        <is>
          <t>MCA4K50</t>
        </is>
      </c>
      <c r="G40" t="inlineStr">
        <is>
          <t>980-9IAM5-00X001, 980-9IAM5-00X01A, 980-9IAM3-00X002, 980-9IAM3-00X02A, 980-9IAM3-00X003</t>
        </is>
      </c>
      <c r="H40" t="inlineStr">
        <is>
          <t>1600G</t>
        </is>
      </c>
      <c r="I40" t="inlineStr">
        <is>
          <t>OSFP-finned -&gt; OSFP-finned</t>
        </is>
      </c>
      <c r="J40" t="inlineStr">
        <is>
          <t>1x 1600Gb/s OSFP to OSFP</t>
        </is>
      </c>
      <c r="K40" t="inlineStr">
        <is>
          <t>Copper</t>
        </is>
      </c>
      <c r="L40" t="inlineStr">
        <is>
          <t>max 3 m</t>
        </is>
      </c>
      <c r="M40" t="inlineStr">
        <is>
          <t>IB</t>
        </is>
      </c>
      <c r="N40" t="inlineStr">
        <is>
          <t>MCA4K50 1600Gbps to 1600Gbps OSFP Active Copper Cable</t>
        </is>
      </c>
      <c r="O40" s="6" t="inlineStr">
        <is>
          <t>https://networking-docs.nvidia.com/mca4k50osfp1600</t>
        </is>
      </c>
      <c r="P40" t="inlineStr">
        <is>
          <t>Copper / DAC / ACC MCA4K50 IHS-to-IHS  active MCA4K50 980-9IAM5-00X001, 980-9IAM5-00X01A, 980-9IAM3-00X002, 980-9IAM3-00X02A, 980-9IAM3-00X003 1600G OSFP-finned -&gt; OSFP-finned 1x 1600Gb/s OSFP to OSFP Copper max 3 m IB MCA4K50 1600Gbps to 1600Gbps OSFP Active Copper Cable</t>
        </is>
      </c>
      <c r="Q40">
        <f>IF(AND(Search!$B$2&lt;&gt;"",ISNUMBER(SEARCH(Search!$B$2,P40))),MAX(Q$1:Q39)+1,"")</f>
        <v/>
      </c>
    </row>
    <row r="41">
      <c r="A41" t="inlineStr">
        <is>
          <t>Copper / DAC / ACC</t>
        </is>
      </c>
      <c r="B41" t="inlineStr">
        <is>
          <t>MCA7K10</t>
        </is>
      </c>
      <c r="C41" t="inlineStr">
        <is>
          <t>IHS-to-2xRHS</t>
        </is>
      </c>
      <c r="E41" t="inlineStr">
        <is>
          <t>active</t>
        </is>
      </c>
      <c r="F41" t="inlineStr">
        <is>
          <t>MCA7K10</t>
        </is>
      </c>
      <c r="G41" t="inlineStr">
        <is>
          <t>980-9IAO5-00X001, 980-9IAO5-00X01A, 980-9IAO5-00X002</t>
        </is>
      </c>
      <c r="H41" t="inlineStr">
        <is>
          <t>1600G</t>
        </is>
      </c>
      <c r="I41" t="inlineStr">
        <is>
          <t>OSFP-finned -&gt; 2xOSFP-flattop</t>
        </is>
      </c>
      <c r="J41" t="inlineStr">
        <is>
          <t>2x 2x800Gb/s OSFP to 2xOSFP</t>
        </is>
      </c>
      <c r="K41" t="inlineStr">
        <is>
          <t>Copper</t>
        </is>
      </c>
      <c r="L41" t="inlineStr">
        <is>
          <t>max 2 m</t>
        </is>
      </c>
      <c r="M41" t="inlineStr">
        <is>
          <t>IB/ETH</t>
        </is>
      </c>
      <c r="N41" t="inlineStr">
        <is>
          <t>MCA7K10 1600Gb/s to 2x800Gb/s, OSFP to 2xOSFP, IHS to RHS Active Copper Splitter Cable</t>
        </is>
      </c>
      <c r="O41" s="6" t="inlineStr">
        <is>
          <t>https://networking-docs.nvidia.com/9809iao500xxxxrhs2x800</t>
        </is>
      </c>
      <c r="P41" t="inlineStr">
        <is>
          <t>Copper / DAC / ACC MCA7K10 IHS-to-2xRHS  active MCA7K10 980-9IAO5-00X001, 980-9IAO5-00X01A, 980-9IAO5-00X002 1600G OSFP-finned -&gt; 2xOSFP-flattop 2x 2x800Gb/s OSFP to 2xOSFP Copper max 2 m IB/ETH MCA7K10 1600Gb/s to 2x800Gb/s, OSFP to 2xOSFP, IHS to RHS Active Copper Splitter Cable</t>
        </is>
      </c>
      <c r="Q41">
        <f>IF(AND(Search!$B$2&lt;&gt;"",ISNUMBER(SEARCH(Search!$B$2,P41))),MAX(Q$1:Q40)+1,"")</f>
        <v/>
      </c>
    </row>
    <row r="42">
      <c r="A42" t="inlineStr">
        <is>
          <t>Copper / DAC / ACC</t>
        </is>
      </c>
      <c r="B42" t="inlineStr">
        <is>
          <t>MCA4J80-Nxxx</t>
        </is>
      </c>
      <c r="C42" t="inlineStr">
        <is>
          <t>finned</t>
        </is>
      </c>
      <c r="E42" t="inlineStr">
        <is>
          <t>active</t>
        </is>
      </c>
      <c r="F42" t="inlineStr">
        <is>
          <t>MCA4J80-N003 / MCA4J80-N004 / MCA4J80-N005</t>
        </is>
      </c>
      <c r="G42" t="inlineStr">
        <is>
          <t>980-9I60Z-00N003, 980-9I601-00N004, 980-9I602-00N005</t>
        </is>
      </c>
      <c r="H42" t="inlineStr">
        <is>
          <t>800G</t>
        </is>
      </c>
      <c r="I42" t="inlineStr">
        <is>
          <t>OSFP-finned -&gt; OSFP-finned</t>
        </is>
      </c>
      <c r="J42" t="inlineStr">
        <is>
          <t>2x 2x400Gb/s OSFP to OSFP</t>
        </is>
      </c>
      <c r="K42" t="inlineStr">
        <is>
          <t>Copper</t>
        </is>
      </c>
      <c r="L42" t="inlineStr">
        <is>
          <t>max 5 m</t>
        </is>
      </c>
      <c r="M42" t="inlineStr">
        <is>
          <t>IB</t>
        </is>
      </c>
      <c r="N42" t="inlineStr">
        <is>
          <t>MCA4J80-Nxxx 800Gb/s Twin-port OSFP to 2x400Gb/s OSFP InfiniBand ACC Product Specifications</t>
        </is>
      </c>
      <c r="O42" s="6" t="inlineStr">
        <is>
          <t>https://networking-docs.nvidia.com/mca4j80nxxx800pub</t>
        </is>
      </c>
      <c r="P42" t="inlineStr">
        <is>
          <t>Copper / DAC / ACC MCA4J80-Nxxx finned  active MCA4J80-N003 / MCA4J80-N004 / MCA4J80-N005 980-9I60Z-00N003, 980-9I601-00N004, 980-9I602-00N005 800G OSFP-finned -&gt; OSFP-finned 2x 2x400Gb/s OSFP to OSFP Copper max 5 m IB MCA4J80-Nxxx 800Gb/s Twin-port OSFP to 2x400Gb/s OSFP InfiniBand ACC Product Specifications</t>
        </is>
      </c>
      <c r="Q42">
        <f>IF(AND(Search!$B$2&lt;&gt;"",ISNUMBER(SEARCH(Search!$B$2,P42))),MAX(Q$1:Q41)+1,"")</f>
        <v/>
      </c>
    </row>
    <row r="43">
      <c r="A43" t="inlineStr">
        <is>
          <t>Copper / DAC / ACC</t>
        </is>
      </c>
      <c r="B43" t="inlineStr">
        <is>
          <t>MCA4J80-Nxxx-FLT</t>
        </is>
      </c>
      <c r="C43" t="inlineStr">
        <is>
          <t>flat-top</t>
        </is>
      </c>
      <c r="E43" t="inlineStr">
        <is>
          <t>active</t>
        </is>
      </c>
      <c r="F43" t="inlineStr">
        <is>
          <t>MCA4J80-N003-FLT</t>
        </is>
      </c>
      <c r="G43" t="inlineStr">
        <is>
          <t>980-9I600-00N003</t>
        </is>
      </c>
      <c r="H43" t="inlineStr">
        <is>
          <t>800G</t>
        </is>
      </c>
      <c r="I43" t="inlineStr">
        <is>
          <t>OSFP-flattop -&gt; OSFP-flattop</t>
        </is>
      </c>
      <c r="J43" t="inlineStr">
        <is>
          <t>2x 2x400Gb/s OSFP to OSFP</t>
        </is>
      </c>
      <c r="K43" t="inlineStr">
        <is>
          <t>Copper</t>
        </is>
      </c>
      <c r="L43" t="inlineStr">
        <is>
          <t>max 3 m</t>
        </is>
      </c>
      <c r="M43" t="inlineStr">
        <is>
          <t>IB</t>
        </is>
      </c>
      <c r="N43" t="inlineStr">
        <is>
          <t>MCA4J80-Nxxx 800Gbps Twin-port 2x400Gbps OSFP to 2x400Gbps OSFP InfiniBand LACC</t>
        </is>
      </c>
      <c r="O43" s="6" t="inlineStr">
        <is>
          <t>https://networking-docs.nvidia.com/mca4j80nxxx800pub</t>
        </is>
      </c>
      <c r="P43" t="inlineStr">
        <is>
          <t>Copper / DAC / ACC MCA4J80-Nxxx-FLT flat-top  active MCA4J80-N003-FLT 980-9I600-00N003 800G OSFP-flattop -&gt; OSFP-flattop 2x 2x400Gb/s OSFP to OSFP Copper max 3 m IB MCA4J80-Nxxx 800Gbps Twin-port 2x400Gbps OSFP to 2x400Gbps OSFP InfiniBand LACC</t>
        </is>
      </c>
      <c r="Q43">
        <f>IF(AND(Search!$B$2&lt;&gt;"",ISNUMBER(SEARCH(Search!$B$2,P43))),MAX(Q$1:Q42)+1,"")</f>
        <v/>
      </c>
    </row>
    <row r="44">
      <c r="A44" t="inlineStr">
        <is>
          <t>Copper / DAC / ACC</t>
        </is>
      </c>
      <c r="B44" t="inlineStr">
        <is>
          <t>MCA4J80-Nxxx-FTF</t>
        </is>
      </c>
      <c r="C44" t="inlineStr">
        <is>
          <t>flat-to-finned</t>
        </is>
      </c>
      <c r="E44" t="inlineStr">
        <is>
          <t>active</t>
        </is>
      </c>
      <c r="F44" t="inlineStr">
        <is>
          <t>MCA4J80-N003-FTF</t>
        </is>
      </c>
      <c r="G44" t="inlineStr">
        <is>
          <t>980-9I601-00N003</t>
        </is>
      </c>
      <c r="H44" t="inlineStr">
        <is>
          <t>800G</t>
        </is>
      </c>
      <c r="I44" t="inlineStr">
        <is>
          <t>OSFP-flattop -&gt; OSFP-finned</t>
        </is>
      </c>
      <c r="J44" t="inlineStr">
        <is>
          <t>2x 2x400Gb/s OSFP to OSFP</t>
        </is>
      </c>
      <c r="K44" t="inlineStr">
        <is>
          <t>Copper</t>
        </is>
      </c>
      <c r="L44" t="inlineStr">
        <is>
          <t>max 3 m</t>
        </is>
      </c>
      <c r="M44" t="inlineStr">
        <is>
          <t>IB</t>
        </is>
      </c>
      <c r="N44" t="inlineStr">
        <is>
          <t>MCA4J80-Nxxx 800Gbps Twin-port 2x400Gbps OSFP to 2x400Gbps OSFP InfiniBand LACC</t>
        </is>
      </c>
      <c r="O44" s="6" t="inlineStr">
        <is>
          <t>https://networking-docs.nvidia.com/mca4j80nxxx800pub</t>
        </is>
      </c>
      <c r="P44" t="inlineStr">
        <is>
          <t>Copper / DAC / ACC MCA4J80-Nxxx-FTF flat-to-finned  active MCA4J80-N003-FTF 980-9I601-00N003 800G OSFP-flattop -&gt; OSFP-finned 2x 2x400Gb/s OSFP to OSFP Copper max 3 m IB MCA4J80-Nxxx 800Gbps Twin-port 2x400Gbps OSFP to 2x400Gbps OSFP InfiniBand LACC</t>
        </is>
      </c>
      <c r="Q44">
        <f>IF(AND(Search!$B$2&lt;&gt;"",ISNUMBER(SEARCH(Search!$B$2,P44))),MAX(Q$1:Q43)+1,"")</f>
        <v/>
      </c>
    </row>
    <row r="45">
      <c r="A45" t="inlineStr">
        <is>
          <t>Copper / DAC / ACC</t>
        </is>
      </c>
      <c r="B45" t="inlineStr">
        <is>
          <t>MCP4Y10-Nxxx</t>
        </is>
      </c>
      <c r="C45" t="inlineStr">
        <is>
          <t>finned</t>
        </is>
      </c>
      <c r="E45" t="inlineStr">
        <is>
          <t>active</t>
        </is>
      </c>
      <c r="F45" t="inlineStr">
        <is>
          <t>MCP4Y10-N00A / MCP4Y10-N001 / MCP4Y10-N01A / MCP4Y10-N002</t>
        </is>
      </c>
      <c r="G45" t="inlineStr">
        <is>
          <t>980-9IA0K-00N00A, 980-9IA0F-00N001, 980-9IA0Q-00N01A, 980-9IA0I-00N002</t>
        </is>
      </c>
      <c r="H45" t="inlineStr">
        <is>
          <t>800G</t>
        </is>
      </c>
      <c r="I45" t="inlineStr">
        <is>
          <t>OSFP-finned -&gt; OSFP-finned</t>
        </is>
      </c>
      <c r="J45" t="inlineStr">
        <is>
          <t>2x 2x400Gb/s OSFP to OSFP</t>
        </is>
      </c>
      <c r="K45" t="inlineStr">
        <is>
          <t>Copper</t>
        </is>
      </c>
      <c r="L45" t="inlineStr">
        <is>
          <t>max 2 m</t>
        </is>
      </c>
      <c r="M45" t="inlineStr">
        <is>
          <t>IB/ETH</t>
        </is>
      </c>
      <c r="N45" t="inlineStr">
        <is>
          <t>MCP4Y10-Nxxx Twin-port 2x400Gb/s OSFP to 2x400Gb/s OSFP Passive DAC Product Specifications</t>
        </is>
      </c>
      <c r="O45" s="6" t="inlineStr">
        <is>
          <t>https://networking-docs.nvidia.com/mcp4y10nxxx2x400pub</t>
        </is>
      </c>
      <c r="P45" t="inlineStr">
        <is>
          <t>Copper / DAC / ACC MCP4Y10-Nxxx finned  active MCP4Y10-N00A / MCP4Y10-N001 / MCP4Y10-N01A / MCP4Y10-N002 980-9IA0K-00N00A, 980-9IA0F-00N001, 980-9IA0Q-00N01A, 980-9IA0I-00N002 800G OSFP-finned -&gt; OSFP-finned 2x 2x400Gb/s OSFP to OSFP Copper max 2 m IB/ETH MCP4Y10-Nxxx Twin-port 2x400Gb/s OSFP to 2x400Gb/s OSFP Passive DAC Product Specifications</t>
        </is>
      </c>
      <c r="Q45">
        <f>IF(AND(Search!$B$2&lt;&gt;"",ISNUMBER(SEARCH(Search!$B$2,P45))),MAX(Q$1:Q44)+1,"")</f>
        <v/>
      </c>
    </row>
    <row r="46">
      <c r="A46" t="inlineStr">
        <is>
          <t>Copper / DAC / ACC</t>
        </is>
      </c>
      <c r="B46" t="inlineStr">
        <is>
          <t>MCP4Y10-Nxxx-FLT</t>
        </is>
      </c>
      <c r="C46" t="inlineStr">
        <is>
          <t>flat-top</t>
        </is>
      </c>
      <c r="E46" t="inlineStr">
        <is>
          <t>active</t>
        </is>
      </c>
      <c r="F46" t="inlineStr">
        <is>
          <t>MCP4Y10-N00A-FLT / MCP4Y10-N001-FLT / MCP4Y10-N002-FLT</t>
        </is>
      </c>
      <c r="G46" t="inlineStr">
        <is>
          <t>980-9IA0L-00N00A, 980-9IA0G-00N001, 980-9IA0J-00N002</t>
        </is>
      </c>
      <c r="H46" t="inlineStr">
        <is>
          <t>800G</t>
        </is>
      </c>
      <c r="I46" t="inlineStr">
        <is>
          <t>OSFP-flattop -&gt; OSFP-flattop</t>
        </is>
      </c>
      <c r="J46" t="inlineStr">
        <is>
          <t>2x 2x400Gb/s OSFP to OSFP</t>
        </is>
      </c>
      <c r="K46" t="inlineStr">
        <is>
          <t>Copper</t>
        </is>
      </c>
      <c r="L46" t="inlineStr">
        <is>
          <t>max 2 m</t>
        </is>
      </c>
      <c r="M46" t="inlineStr">
        <is>
          <t>IB/ETH</t>
        </is>
      </c>
      <c r="N46" t="inlineStr">
        <is>
          <t>MCP4Y10-Nxxx Twin-port 2x400Gb/s OSFP to 2x400Gb/s OSFP Passive DAC Product Specifications</t>
        </is>
      </c>
      <c r="O46" s="6" t="inlineStr">
        <is>
          <t>https://networking-docs.nvidia.com/mcp4y10nxxx2x400pub</t>
        </is>
      </c>
      <c r="P46" t="inlineStr">
        <is>
          <t>Copper / DAC / ACC MCP4Y10-Nxxx-FLT flat-top  active MCP4Y10-N00A-FLT / MCP4Y10-N001-FLT / MCP4Y10-N002-FLT 980-9IA0L-00N00A, 980-9IA0G-00N001, 980-9IA0J-00N002 800G OSFP-flattop -&gt; OSFP-flattop 2x 2x400Gb/s OSFP to OSFP Copper max 2 m IB/ETH MCP4Y10-Nxxx Twin-port 2x400Gb/s OSFP to 2x400Gb/s OSFP Passive DAC Product Specifications</t>
        </is>
      </c>
      <c r="Q46">
        <f>IF(AND(Search!$B$2&lt;&gt;"",ISNUMBER(SEARCH(Search!$B$2,P46))),MAX(Q$1:Q45)+1,"")</f>
        <v/>
      </c>
    </row>
    <row r="47">
      <c r="A47" t="inlineStr">
        <is>
          <t>Copper / DAC / ACC</t>
        </is>
      </c>
      <c r="B47" t="inlineStr">
        <is>
          <t>MCP7Y00-Nxxx</t>
        </is>
      </c>
      <c r="C47" t="inlineStr">
        <is>
          <t>finned head</t>
        </is>
      </c>
      <c r="E47" t="inlineStr">
        <is>
          <t>active</t>
        </is>
      </c>
      <c r="F47" t="inlineStr">
        <is>
          <t>—</t>
        </is>
      </c>
      <c r="G47" t="inlineStr">
        <is>
          <t>MCP7Y00-N001, MCP7Y00-N01A, MCP7Y00-N002, MCP7Y00-N02A, MCP7Y00-N003</t>
        </is>
      </c>
      <c r="H47" t="inlineStr">
        <is>
          <t>800G</t>
        </is>
      </c>
      <c r="I47" t="inlineStr">
        <is>
          <t>OSFP-finned -&gt; 2xOSFP-flattop</t>
        </is>
      </c>
      <c r="J47" t="inlineStr">
        <is>
          <t>2x 2x400Gb/s OSFP to 2xOSFP</t>
        </is>
      </c>
      <c r="K47" t="inlineStr">
        <is>
          <t>Copper</t>
        </is>
      </c>
      <c r="L47" t="inlineStr">
        <is>
          <t>max 3 m</t>
        </is>
      </c>
      <c r="M47" t="inlineStr">
        <is>
          <t>IB/ETH</t>
        </is>
      </c>
      <c r="N47" t="inlineStr">
        <is>
          <t>MCP7Y00-Nxxx 800Gb/s Twin-port 2x400G OSFP to 2x400G OSFP Passive DAC Splitter Product Specifications</t>
        </is>
      </c>
      <c r="O47" s="6" t="inlineStr">
        <is>
          <t>https://networking-docs.nvidia.com/mcp7y00nxxx800pub</t>
        </is>
      </c>
      <c r="P47" t="inlineStr">
        <is>
          <t>Copper / DAC / ACC MCP7Y00-Nxxx finned head  active — MCP7Y00-N001, MCP7Y00-N01A, MCP7Y00-N002, MCP7Y00-N02A, MCP7Y00-N003 800G OSFP-finned -&gt; 2xOSFP-flattop 2x 2x400Gb/s OSFP to 2xOSFP Copper max 3 m IB/ETH MCP7Y00-Nxxx 800Gb/s Twin-port 2x400G OSFP to 2x400G OSFP Passive DAC Splitter Product Specifications</t>
        </is>
      </c>
      <c r="Q47">
        <f>IF(AND(Search!$B$2&lt;&gt;"",ISNUMBER(SEARCH(Search!$B$2,P47))),MAX(Q$1:Q46)+1,"")</f>
        <v/>
      </c>
    </row>
    <row r="48">
      <c r="A48" t="inlineStr">
        <is>
          <t>Copper / DAC / ACC</t>
        </is>
      </c>
      <c r="B48" t="inlineStr">
        <is>
          <t>MCP7Y00-Nxxx-FLT</t>
        </is>
      </c>
      <c r="C48" t="inlineStr">
        <is>
          <t>flat-top head</t>
        </is>
      </c>
      <c r="E48" t="inlineStr">
        <is>
          <t>active</t>
        </is>
      </c>
      <c r="F48" t="inlineStr">
        <is>
          <t>—</t>
        </is>
      </c>
      <c r="G48" t="inlineStr">
        <is>
          <t>MCP7Y00-N001-FLT1, MCP7Y00-N01A-FLT, MCP7Y00-N002-FLT</t>
        </is>
      </c>
      <c r="H48" t="inlineStr">
        <is>
          <t>800G</t>
        </is>
      </c>
      <c r="I48" t="inlineStr">
        <is>
          <t>OSFP-flattop -&gt; 2xOSFP-flattop</t>
        </is>
      </c>
      <c r="J48" t="inlineStr">
        <is>
          <t>2x 2x400Gb/s OSFP to 2xOSFP</t>
        </is>
      </c>
      <c r="K48" t="inlineStr">
        <is>
          <t>Copper</t>
        </is>
      </c>
      <c r="L48" t="inlineStr">
        <is>
          <t>max 2 m</t>
        </is>
      </c>
      <c r="M48" t="inlineStr">
        <is>
          <t>IB/ETH</t>
        </is>
      </c>
      <c r="N48" t="inlineStr">
        <is>
          <t>MCP7Y00-Nxxx 800Gbps Twin-port 2x400G OSFP to 2x400G OSFP Passive DAC Splitter</t>
        </is>
      </c>
      <c r="O48" s="6" t="inlineStr">
        <is>
          <t>https://networking-docs.nvidia.com/mcp7y00nxxx800pub</t>
        </is>
      </c>
      <c r="P48" t="inlineStr">
        <is>
          <t>Copper / DAC / ACC MCP7Y00-Nxxx-FLT flat-top head  active — MCP7Y00-N001-FLT1, MCP7Y00-N01A-FLT, MCP7Y00-N002-FLT 800G OSFP-flattop -&gt; 2xOSFP-flattop 2x 2x400Gb/s OSFP to 2xOSFP Copper max 2 m IB/ETH MCP7Y00-Nxxx 800Gbps Twin-port 2x400G OSFP to 2x400G OSFP Passive DAC Splitter</t>
        </is>
      </c>
      <c r="Q48">
        <f>IF(AND(Search!$B$2&lt;&gt;"",ISNUMBER(SEARCH(Search!$B$2,P48))),MAX(Q$1:Q47)+1,"")</f>
        <v/>
      </c>
    </row>
    <row r="49">
      <c r="A49" t="inlineStr">
        <is>
          <t>Copper / DAC / ACC</t>
        </is>
      </c>
      <c r="B49" t="inlineStr">
        <is>
          <t>MCP1600-E0xxEyy</t>
        </is>
      </c>
      <c r="C49" t="inlineStr">
        <is>
          <t>—</t>
        </is>
      </c>
      <c r="E49" t="inlineStr">
        <is>
          <t>active</t>
        </is>
      </c>
      <c r="F49" t="inlineStr">
        <is>
          <t>—</t>
        </is>
      </c>
      <c r="G49" t="inlineStr">
        <is>
          <t>MCP1600-E00AE30, MCP1600-E001E30, MCP1600-E01AE30, MCP1600-E002E30, MCP1600-E02AE26, MCP1600-E003E26, MCP1600-E004E26, MCP1600-E005E26</t>
        </is>
      </c>
      <c r="H49" t="inlineStr">
        <is>
          <t>100G</t>
        </is>
      </c>
      <c r="I49" t="inlineStr">
        <is>
          <t>QSFP28</t>
        </is>
      </c>
      <c r="J49" t="inlineStr">
        <is>
          <t>1x 100Gb/s QSFP28 to QSFP28</t>
        </is>
      </c>
      <c r="K49" t="inlineStr">
        <is>
          <t>Copper</t>
        </is>
      </c>
      <c r="L49" t="inlineStr">
        <is>
          <t>max 5 m</t>
        </is>
      </c>
      <c r="M49" t="inlineStr">
        <is>
          <t>IB</t>
        </is>
      </c>
      <c r="N49" t="inlineStr">
        <is>
          <t>MCP1600-E0xxEyy 100Gb/s QSFP28 DAC Cable Product Specifications</t>
        </is>
      </c>
      <c r="O49" s="6" t="inlineStr">
        <is>
          <t>https://networking-docs.nvidia.com/mcp1600e0xxxeyyspec</t>
        </is>
      </c>
      <c r="P49" t="inlineStr">
        <is>
          <t>Copper / DAC / ACC MCP1600-E0xxEyy —  active — MCP1600-E00AE30, MCP1600-E001E30, MCP1600-E01AE30, MCP1600-E002E30, MCP1600-E02AE26, MCP1600-E003E26, MCP1600-E004E26, MCP1600-E005E26 100G QSFP28 1x 100Gb/s QSFP28 to QSFP28 Copper max 5 m IB MCP1600-E0xxEyy 100Gb/s QSFP28 DAC Cable Product Specifications</t>
        </is>
      </c>
      <c r="Q49">
        <f>IF(AND(Search!$B$2&lt;&gt;"",ISNUMBER(SEARCH(Search!$B$2,P49))),MAX(Q$1:Q48)+1,"")</f>
        <v/>
      </c>
    </row>
    <row r="50">
      <c r="A50" t="inlineStr">
        <is>
          <t>Other active LinkX products</t>
        </is>
      </c>
      <c r="B50" t="inlineStr">
        <is>
          <t>MMS4C1X</t>
        </is>
      </c>
      <c r="D50" t="inlineStr">
        <is>
          <t>Transceiver</t>
        </is>
      </c>
      <c r="E50" t="inlineStr">
        <is>
          <t>active</t>
        </is>
      </c>
      <c r="F50" t="inlineStr">
        <is>
          <t>—</t>
        </is>
      </c>
      <c r="G50" t="inlineStr">
        <is>
          <t>980-9IAU0-00XM00, 980-9IAU0-00XM01, 980-9IAU1-00XM00, 980-9IAU1-00XM01</t>
        </is>
      </c>
      <c r="H50" t="inlineStr">
        <is>
          <t>1600G</t>
        </is>
      </c>
      <c r="N50" t="inlineStr">
        <is>
          <t>NVIDIA MMS4C1X FRO 1600Gbps, 2xDR4, Twin-port OSFP, 2xMPO (APC), 1310nm Single Mode Transceiver (up to 500m)</t>
        </is>
      </c>
      <c r="O50" s="6" t="inlineStr">
        <is>
          <t>https://networking-docs.nvidia.com/9iau000xmosfptcvr1600</t>
        </is>
      </c>
      <c r="P50" t="inlineStr">
        <is>
          <t>Other active LinkX products MMS4C1X  Transceiver active — 980-9IAU0-00XM00, 980-9IAU0-00XM01, 980-9IAU1-00XM00, 980-9IAU1-00XM01 1600G      NVIDIA MMS4C1X FRO 1600Gbps, 2xDR4, Twin-port OSFP, 2xMPO (APC), 1310nm Single Mode Transceiver (up to 500m)</t>
        </is>
      </c>
      <c r="Q50">
        <f>IF(AND(Search!$B$2&lt;&gt;"",ISNUMBER(SEARCH(Search!$B$2,P50))),MAX(Q$1:Q49)+1,"")</f>
        <v/>
      </c>
    </row>
    <row r="51">
      <c r="A51" t="inlineStr">
        <is>
          <t>Other active LinkX products</t>
        </is>
      </c>
      <c r="B51" t="inlineStr">
        <is>
          <t>MAM1Q00A-QSA</t>
        </is>
      </c>
      <c r="D51" t="inlineStr">
        <is>
          <t>Adapter</t>
        </is>
      </c>
      <c r="E51" t="inlineStr">
        <is>
          <t>active</t>
        </is>
      </c>
      <c r="F51" t="inlineStr">
        <is>
          <t>—</t>
        </is>
      </c>
      <c r="G51" t="inlineStr">
        <is>
          <t>—</t>
        </is>
      </c>
      <c r="H51" t="inlineStr">
        <is>
          <t>Accessories</t>
        </is>
      </c>
      <c r="N51" t="inlineStr">
        <is>
          <t>MAM1Q00A-QSA NVIDIA DynamiX QSA™, QSFP+ to SFP+ Adapter Product Specifications</t>
        </is>
      </c>
      <c r="O51" s="6" t="inlineStr">
        <is>
          <t>https://networking-docs.nvidia.com/mam1q00aqsadnmx</t>
        </is>
      </c>
      <c r="P51" t="inlineStr">
        <is>
          <t>Other active LinkX products MAM1Q00A-QSA  Adapter active — — Accessories      MAM1Q00A-QSA NVIDIA DynamiX QSA™, QSFP+ to SFP+ Adapter Product Specifications</t>
        </is>
      </c>
      <c r="Q51">
        <f>IF(AND(Search!$B$2&lt;&gt;"",ISNUMBER(SEARCH(Search!$B$2,P51))),MAX(Q$1:Q50)+1,"")</f>
        <v/>
      </c>
    </row>
    <row r="52">
      <c r="A52" t="inlineStr">
        <is>
          <t>Other active LinkX products</t>
        </is>
      </c>
      <c r="B52" t="inlineStr">
        <is>
          <t>MAM1Q00A-QSA28</t>
        </is>
      </c>
      <c r="D52" t="inlineStr">
        <is>
          <t>Adapter</t>
        </is>
      </c>
      <c r="E52" t="inlineStr">
        <is>
          <t>active</t>
        </is>
      </c>
      <c r="F52" t="inlineStr">
        <is>
          <t>—</t>
        </is>
      </c>
      <c r="G52" t="inlineStr">
        <is>
          <t>—</t>
        </is>
      </c>
      <c r="H52" t="inlineStr">
        <is>
          <t>Accessories</t>
        </is>
      </c>
      <c r="N52" t="inlineStr">
        <is>
          <t>MAM1Q00A-QSA28 NVIDIA DynamiX QSA™ QSA28, QSFP28 to SFP28 Adapter Product Specifications</t>
        </is>
      </c>
      <c r="O52" s="6" t="inlineStr">
        <is>
          <t>https://networking-docs.nvidia.com/mam1q00aqsa28dnmx</t>
        </is>
      </c>
      <c r="P52" t="inlineStr">
        <is>
          <t>Other active LinkX products MAM1Q00A-QSA28  Adapter active — — Accessories      MAM1Q00A-QSA28 NVIDIA DynamiX QSA™ QSA28, QSFP28 to SFP28 Adapter Product Specifications</t>
        </is>
      </c>
      <c r="Q52">
        <f>IF(AND(Search!$B$2&lt;&gt;"",ISNUMBER(SEARCH(Search!$B$2,P52))),MAX(Q$1:Q51)+1,"")</f>
        <v/>
      </c>
    </row>
    <row r="53">
      <c r="A53" t="inlineStr">
        <is>
          <t>Other active LinkX products</t>
        </is>
      </c>
      <c r="B53" t="inlineStr">
        <is>
          <t>MFP7E10-Nxxx</t>
        </is>
      </c>
      <c r="D53" t="inlineStr">
        <is>
          <t>Fiber</t>
        </is>
      </c>
      <c r="E53" t="inlineStr">
        <is>
          <t>active</t>
        </is>
      </c>
      <c r="F53" t="inlineStr">
        <is>
          <t>—</t>
        </is>
      </c>
      <c r="G53" t="inlineStr">
        <is>
          <t>—</t>
        </is>
      </c>
      <c r="H53" t="inlineStr">
        <is>
          <t>Accessories</t>
        </is>
      </c>
      <c r="N53" t="inlineStr">
        <is>
          <t>MFP7E10-Nxxx Optical Multimode Fiber Cable Product Specifications</t>
        </is>
      </c>
      <c r="O53" s="6" t="inlineStr">
        <is>
          <t>https://networking-docs.nvidia.com/mfp7e10nxxx</t>
        </is>
      </c>
      <c r="P53" t="inlineStr">
        <is>
          <t>Other active LinkX products MFP7E10-Nxxx  Fiber active — — Accessories      MFP7E10-Nxxx Optical Multimode Fiber Cable Product Specifications</t>
        </is>
      </c>
      <c r="Q53">
        <f>IF(AND(Search!$B$2&lt;&gt;"",ISNUMBER(SEARCH(Search!$B$2,P53))),MAX(Q$1:Q52)+1,"")</f>
        <v/>
      </c>
    </row>
    <row r="54">
      <c r="A54" t="inlineStr">
        <is>
          <t>Other active LinkX products</t>
        </is>
      </c>
      <c r="B54" t="inlineStr">
        <is>
          <t>MFP7E20-Nxxx</t>
        </is>
      </c>
      <c r="D54" t="inlineStr">
        <is>
          <t>Fiber</t>
        </is>
      </c>
      <c r="E54" t="inlineStr">
        <is>
          <t>active</t>
        </is>
      </c>
      <c r="F54" t="inlineStr">
        <is>
          <t>—</t>
        </is>
      </c>
      <c r="G54" t="inlineStr">
        <is>
          <t>—</t>
        </is>
      </c>
      <c r="H54" t="inlineStr">
        <is>
          <t>Accessories</t>
        </is>
      </c>
      <c r="N54" t="inlineStr">
        <is>
          <t>MFP7E20-Nxxx Optical Multimode Splitter Fiber Cable Product Specifications</t>
        </is>
      </c>
      <c r="O54" s="6" t="inlineStr">
        <is>
          <t>https://networking-docs.nvidia.com/mfp7e20nxxx</t>
        </is>
      </c>
      <c r="P54" t="inlineStr">
        <is>
          <t>Other active LinkX products MFP7E20-Nxxx  Fiber active — — Accessories      MFP7E20-Nxxx Optical Multimode Splitter Fiber Cable Product Specifications</t>
        </is>
      </c>
      <c r="Q54">
        <f>IF(AND(Search!$B$2&lt;&gt;"",ISNUMBER(SEARCH(Search!$B$2,P54))),MAX(Q$1:Q53)+1,"")</f>
        <v/>
      </c>
    </row>
    <row r="55">
      <c r="A55" t="inlineStr">
        <is>
          <t>Other active LinkX products</t>
        </is>
      </c>
      <c r="B55" t="inlineStr">
        <is>
          <t>MFP7E30-Nxxx</t>
        </is>
      </c>
      <c r="D55" t="inlineStr">
        <is>
          <t>Fiber</t>
        </is>
      </c>
      <c r="E55" t="inlineStr">
        <is>
          <t>active</t>
        </is>
      </c>
      <c r="F55" t="inlineStr">
        <is>
          <t>—</t>
        </is>
      </c>
      <c r="G55" t="inlineStr">
        <is>
          <t>—</t>
        </is>
      </c>
      <c r="H55" t="inlineStr">
        <is>
          <t>Accessories</t>
        </is>
      </c>
      <c r="N55" t="inlineStr">
        <is>
          <t>MFP7E30-Nxxx MPO-to-MPO Single-mode Fiber Cable Product Specifications</t>
        </is>
      </c>
      <c r="O55" s="6" t="inlineStr">
        <is>
          <t>https://networking-docs.nvidia.com/mfp7e30nxxxpub</t>
        </is>
      </c>
      <c r="P55" t="inlineStr">
        <is>
          <t>Other active LinkX products MFP7E30-Nxxx  Fiber active — — Accessories      MFP7E30-Nxxx MPO-to-MPO Single-mode Fiber Cable Product Specifications</t>
        </is>
      </c>
      <c r="Q55">
        <f>IF(AND(Search!$B$2&lt;&gt;"",ISNUMBER(SEARCH(Search!$B$2,P55))),MAX(Q$1:Q54)+1,"")</f>
        <v/>
      </c>
    </row>
    <row r="56">
      <c r="A56" t="inlineStr">
        <is>
          <t>Other active LinkX products</t>
        </is>
      </c>
      <c r="B56" t="inlineStr">
        <is>
          <t>MFP7E40-Nxxx</t>
        </is>
      </c>
      <c r="D56" t="inlineStr">
        <is>
          <t>Fiber</t>
        </is>
      </c>
      <c r="E56" t="inlineStr">
        <is>
          <t>active</t>
        </is>
      </c>
      <c r="F56" t="inlineStr">
        <is>
          <t>MFP7E40-N003 / MFP7E40-N005 / MFP7E40-N007 / MFP7E40-N010 / MFP7E40-N015 / MFP7E40-N020 / MFP7E40-N030 / MFP7E40-N050</t>
        </is>
      </c>
      <c r="G56" t="inlineStr">
        <is>
          <t>980-9I58K-00N003, 980-9I58L-00N005, 980-9I58M-00N007, 980-9I58N-00N010, 980-9I56O-00N015, 980-9I56P-00N020, 980-9I56Q-00N030, 980-9I56R-000050</t>
        </is>
      </c>
      <c r="H56" t="inlineStr">
        <is>
          <t>Accessories</t>
        </is>
      </c>
      <c r="N56" t="inlineStr">
        <is>
          <t>MFP7E40-Nxxx Single mode 1:2 Fiber Splitter Cable Product Specifications</t>
        </is>
      </c>
      <c r="O56" s="6" t="inlineStr">
        <is>
          <t>https://networking-docs.nvidia.com/mfp7e40nxxxpub</t>
        </is>
      </c>
      <c r="P56" t="inlineStr">
        <is>
          <t>Other active LinkX products MFP7E40-Nxxx  Fiber active MFP7E40-N003 / MFP7E40-N005 / MFP7E40-N007 / MFP7E40-N010 / MFP7E40-N015 / MFP7E40-N020 / MFP7E40-N030 / MFP7E40-N050 980-9I58K-00N003, 980-9I58L-00N005, 980-9I58M-00N007, 980-9I58N-00N010, 980-9I56O-00N015, 980-9I56P-00N020, 980-9I56Q-00N030, 980-9I56R-000050 Accessories      MFP7E40-Nxxx Single mode 1:2 Fiber Splitter Cable Product Specifications</t>
        </is>
      </c>
      <c r="Q56">
        <f>IF(AND(Search!$B$2&lt;&gt;"",ISNUMBER(SEARCH(Search!$B$2,P56))),MAX(Q$1:Q55)+1,"")</f>
        <v/>
      </c>
    </row>
    <row r="57">
      <c r="A57" t="inlineStr">
        <is>
          <t>Ethernet switching</t>
        </is>
      </c>
      <c r="B57" t="inlineStr">
        <is>
          <t>SN6810-LD</t>
        </is>
      </c>
      <c r="D57" t="inlineStr">
        <is>
          <t>Spectrum-6 SN6000</t>
        </is>
      </c>
      <c r="E57" t="inlineStr">
        <is>
          <t>documented</t>
        </is>
      </c>
      <c r="F57" t="inlineStr">
        <is>
          <t>—</t>
        </is>
      </c>
      <c r="G57" t="inlineStr">
        <is>
          <t>—</t>
        </is>
      </c>
      <c r="H57" t="inlineStr">
        <is>
          <t>800GbE</t>
        </is>
      </c>
      <c r="J57" t="inlineStr">
        <is>
          <t>128x MMC-12 800GbE fixed</t>
        </is>
      </c>
      <c r="N57" t="inlineStr">
        <is>
          <t>Spectrum-6 SN6000 2U 800GbE Ethernet switch: 128x MMC-12 (co-packaged optics)</t>
        </is>
      </c>
      <c r="O57" s="6" t="inlineStr">
        <is>
          <t>https://networking-docs.nvidia.com/sn6000hw</t>
        </is>
      </c>
      <c r="P57" t="inlineStr">
        <is>
          <t>Ethernet switching SN6810-LD  Spectrum-6 SN6000 documented — — 800GbE  128x MMC-12 800GbE fixed    Spectrum-6 SN6000 2U 800GbE Ethernet switch: 128x MMC-12 (co-packaged optics)</t>
        </is>
      </c>
      <c r="Q57">
        <f>IF(AND(Search!$B$2&lt;&gt;"",ISNUMBER(SEARCH(Search!$B$2,P57))),MAX(Q$1:Q56)+1,"")</f>
        <v/>
      </c>
    </row>
    <row r="58">
      <c r="A58" t="inlineStr">
        <is>
          <t>Ethernet switching</t>
        </is>
      </c>
      <c r="B58" t="inlineStr">
        <is>
          <t>SN6800-LD</t>
        </is>
      </c>
      <c r="D58" t="inlineStr">
        <is>
          <t>Spectrum-6 SN6000</t>
        </is>
      </c>
      <c r="E58" t="inlineStr">
        <is>
          <t>documented</t>
        </is>
      </c>
      <c r="F58" t="inlineStr">
        <is>
          <t>—</t>
        </is>
      </c>
      <c r="G58" t="inlineStr">
        <is>
          <t>—</t>
        </is>
      </c>
      <c r="H58" t="inlineStr">
        <is>
          <t>200GbE</t>
        </is>
      </c>
      <c r="J58" t="inlineStr">
        <is>
          <t>512x MMC-12 200GbE fixed</t>
        </is>
      </c>
      <c r="N58" t="inlineStr">
        <is>
          <t>Spectrum-6 SN6000 5U 200GbE Ethernet switch: 512x MMC-12 (co-packaged optics)</t>
        </is>
      </c>
      <c r="O58" s="6" t="inlineStr">
        <is>
          <t>https://networking-docs.nvidia.com/sn6000hw</t>
        </is>
      </c>
      <c r="P58" t="inlineStr">
        <is>
          <t>Ethernet switching SN6800-LD  Spectrum-6 SN6000 documented — — 200GbE  512x MMC-12 200GbE fixed    Spectrum-6 SN6000 5U 200GbE Ethernet switch: 512x MMC-12 (co-packaged optics)</t>
        </is>
      </c>
      <c r="Q58">
        <f>IF(AND(Search!$B$2&lt;&gt;"",ISNUMBER(SEARCH(Search!$B$2,P58))),MAX(Q$1:Q57)+1,"")</f>
        <v/>
      </c>
    </row>
    <row r="59">
      <c r="A59" t="inlineStr">
        <is>
          <t>Ethernet switching</t>
        </is>
      </c>
      <c r="B59" t="inlineStr">
        <is>
          <t>SN6600-LD</t>
        </is>
      </c>
      <c r="D59" t="inlineStr">
        <is>
          <t>Spectrum-6 SN6000</t>
        </is>
      </c>
      <c r="E59" t="inlineStr">
        <is>
          <t>documented</t>
        </is>
      </c>
      <c r="F59" t="inlineStr">
        <is>
          <t>—</t>
        </is>
      </c>
      <c r="G59" t="inlineStr">
        <is>
          <t>—</t>
        </is>
      </c>
      <c r="H59" t="inlineStr">
        <is>
          <t>800GbE</t>
        </is>
      </c>
      <c r="J59" t="inlineStr">
        <is>
          <t>64x OSFP 2x800 Gb/s</t>
        </is>
      </c>
      <c r="N59" t="inlineStr">
        <is>
          <t>Spectrum-6 SN6000 2U 800GbE Ethernet switch: 64x OSFP 2x800 Gb/s</t>
        </is>
      </c>
      <c r="O59" s="6" t="inlineStr">
        <is>
          <t>https://networking-docs.nvidia.com/sn6000hw</t>
        </is>
      </c>
      <c r="P59" t="inlineStr">
        <is>
          <t>Ethernet switching SN6600-LD  Spectrum-6 SN6000 documented — — 800GbE  64x OSFP 2x800 Gb/s    Spectrum-6 SN6000 2U 800GbE Ethernet switch: 64x OSFP 2x800 Gb/s</t>
        </is>
      </c>
      <c r="Q59">
        <f>IF(AND(Search!$B$2&lt;&gt;"",ISNUMBER(SEARCH(Search!$B$2,P59))),MAX(Q$1:Q58)+1,"")</f>
        <v/>
      </c>
    </row>
    <row r="60">
      <c r="A60" t="inlineStr">
        <is>
          <t>Ethernet switching</t>
        </is>
      </c>
      <c r="B60" t="inlineStr">
        <is>
          <t>SN6600</t>
        </is>
      </c>
      <c r="D60" t="inlineStr">
        <is>
          <t>Spectrum-6 SN6000</t>
        </is>
      </c>
      <c r="E60" t="inlineStr">
        <is>
          <t>documented</t>
        </is>
      </c>
      <c r="F60" t="inlineStr">
        <is>
          <t>—</t>
        </is>
      </c>
      <c r="G60" t="inlineStr">
        <is>
          <t>—</t>
        </is>
      </c>
      <c r="H60" t="inlineStr">
        <is>
          <t>800GbE</t>
        </is>
      </c>
      <c r="J60" t="inlineStr">
        <is>
          <t>64x OSFP 2x800 Gb/s</t>
        </is>
      </c>
      <c r="N60" t="inlineStr">
        <is>
          <t>Spectrum-6 SN6000 3U 800GbE Ethernet switch: 64x OSFP 2x800 Gb/s</t>
        </is>
      </c>
      <c r="O60" s="6" t="inlineStr">
        <is>
          <t>https://networking-docs.nvidia.com/sn6000hw</t>
        </is>
      </c>
      <c r="P60" t="inlineStr">
        <is>
          <t>Ethernet switching SN6600  Spectrum-6 SN6000 documented — — 800GbE  64x OSFP 2x800 Gb/s    Spectrum-6 SN6000 3U 800GbE Ethernet switch: 64x OSFP 2x800 Gb/s</t>
        </is>
      </c>
      <c r="Q60">
        <f>IF(AND(Search!$B$2&lt;&gt;"",ISNUMBER(SEARCH(Search!$B$2,P60))),MAX(Q$1:Q59)+1,"")</f>
        <v/>
      </c>
    </row>
    <row r="61">
      <c r="A61" t="inlineStr">
        <is>
          <t>Ethernet switching</t>
        </is>
      </c>
      <c r="B61" t="inlineStr">
        <is>
          <t>SN6200-LD</t>
        </is>
      </c>
      <c r="D61" t="inlineStr">
        <is>
          <t>Spectrum-6 SN6000</t>
        </is>
      </c>
      <c r="E61" t="inlineStr">
        <is>
          <t>documented</t>
        </is>
      </c>
      <c r="F61" t="inlineStr">
        <is>
          <t>—</t>
        </is>
      </c>
      <c r="G61" t="inlineStr">
        <is>
          <t>—</t>
        </is>
      </c>
      <c r="H61" t="inlineStr">
        <is>
          <t>200GbE</t>
        </is>
      </c>
      <c r="J61" t="inlineStr">
        <is>
          <t>32x OSFP 2x800GbE front; 256x backplane 200G</t>
        </is>
      </c>
      <c r="N61" t="inlineStr">
        <is>
          <t>Spectrum-6 SN6000 1U 200GbE Ethernet switch: 32x OSFP 2x800GbE front + 256x200G backplane</t>
        </is>
      </c>
      <c r="O61" s="6" t="inlineStr">
        <is>
          <t>https://networking-docs.nvidia.com/sn6000hw</t>
        </is>
      </c>
      <c r="P61" t="inlineStr">
        <is>
          <t>Ethernet switching SN6200-LD  Spectrum-6 SN6000 documented — — 200GbE  32x OSFP 2x800GbE front; 256x backplane 200G    Spectrum-6 SN6000 1U 200GbE Ethernet switch: 32x OSFP 2x800GbE front + 256x200G backplane</t>
        </is>
      </c>
      <c r="Q61">
        <f>IF(AND(Search!$B$2&lt;&gt;"",ISNUMBER(SEARCH(Search!$B$2,P61))),MAX(Q$1:Q60)+1,"")</f>
        <v/>
      </c>
    </row>
    <row r="62">
      <c r="A62" t="inlineStr">
        <is>
          <t>Ethernet switching</t>
        </is>
      </c>
      <c r="B62" t="inlineStr">
        <is>
          <t>SN5610</t>
        </is>
      </c>
      <c r="D62" t="inlineStr">
        <is>
          <t>Spectrum-4 SN5000</t>
        </is>
      </c>
      <c r="E62" t="inlineStr">
        <is>
          <t>documented</t>
        </is>
      </c>
      <c r="F62" t="inlineStr">
        <is>
          <t>—</t>
        </is>
      </c>
      <c r="G62" t="inlineStr">
        <is>
          <t>920-9N42F-00RI-3C1</t>
        </is>
      </c>
      <c r="H62" t="inlineStr">
        <is>
          <t>800GbE</t>
        </is>
      </c>
      <c r="J62" t="inlineStr">
        <is>
          <t>64x OSFP 800GbE; 2x SFP28 25GbE</t>
        </is>
      </c>
      <c r="N62" t="inlineStr">
        <is>
          <t>Spectrum-4 SN5000 2U 800GbE Ethernet switch: 64x OSFP 800GbE + 2x SFP28 25GbE</t>
        </is>
      </c>
      <c r="O62" s="6" t="inlineStr">
        <is>
          <t>https://networking-docs.nvidia.com/sn5000hw</t>
        </is>
      </c>
      <c r="P62" t="inlineStr">
        <is>
          <t>Ethernet switching SN5610  Spectrum-4 SN5000 documented — 920-9N42F-00RI-3C1 800GbE  64x OSFP 800GbE; 2x SFP28 25GbE    Spectrum-4 SN5000 2U 800GbE Ethernet switch: 64x OSFP 800GbE + 2x SFP28 25GbE</t>
        </is>
      </c>
      <c r="Q62">
        <f>IF(AND(Search!$B$2&lt;&gt;"",ISNUMBER(SEARCH(Search!$B$2,P62))),MAX(Q$1:Q61)+1,"")</f>
        <v/>
      </c>
    </row>
    <row r="63">
      <c r="A63" t="inlineStr">
        <is>
          <t>Ethernet switching</t>
        </is>
      </c>
      <c r="B63" t="inlineStr">
        <is>
          <t>SN5600</t>
        </is>
      </c>
      <c r="D63" t="inlineStr">
        <is>
          <t>Spectrum-4 SN5000</t>
        </is>
      </c>
      <c r="E63" t="inlineStr">
        <is>
          <t>end_of_life</t>
        </is>
      </c>
      <c r="F63" t="inlineStr">
        <is>
          <t>—</t>
        </is>
      </c>
      <c r="G63" t="inlineStr">
        <is>
          <t>920-9N42F-00RI-7C0</t>
        </is>
      </c>
      <c r="H63" t="inlineStr">
        <is>
          <t>800GbE</t>
        </is>
      </c>
      <c r="J63" t="inlineStr">
        <is>
          <t>64x OSFP 800GbE; 1x SFP28 25GbE</t>
        </is>
      </c>
      <c r="N63" t="inlineStr">
        <is>
          <t>Spectrum-4 SN5000 2U 800GbE Ethernet switch: 64x OSFP 800GbE + 1x SFP28 25GbE</t>
        </is>
      </c>
      <c r="O63" s="6" t="inlineStr">
        <is>
          <t>https://networking-docs.nvidia.com/sn5000hw</t>
        </is>
      </c>
      <c r="P63" t="inlineStr">
        <is>
          <t>Ethernet switching SN5600  Spectrum-4 SN5000 end_of_life — 920-9N42F-00RI-7C0 800GbE  64x OSFP 800GbE; 1x SFP28 25GbE    Spectrum-4 SN5000 2U 800GbE Ethernet switch: 64x OSFP 800GbE + 1x SFP28 25GbE</t>
        </is>
      </c>
      <c r="Q63">
        <f>IF(AND(Search!$B$2&lt;&gt;"",ISNUMBER(SEARCH(Search!$B$2,P63))),MAX(Q$1:Q62)+1,"")</f>
        <v/>
      </c>
    </row>
    <row r="64">
      <c r="A64" t="inlineStr">
        <is>
          <t>Ethernet switching</t>
        </is>
      </c>
      <c r="B64" t="inlineStr">
        <is>
          <t>SN5600D</t>
        </is>
      </c>
      <c r="D64" t="inlineStr">
        <is>
          <t>Spectrum-4 SN5000</t>
        </is>
      </c>
      <c r="E64" t="inlineStr">
        <is>
          <t>documented</t>
        </is>
      </c>
      <c r="F64" t="inlineStr">
        <is>
          <t>—</t>
        </is>
      </c>
      <c r="G64" t="inlineStr">
        <is>
          <t>920-9N42F-00RI-KC0</t>
        </is>
      </c>
      <c r="H64" t="inlineStr">
        <is>
          <t>800GbE</t>
        </is>
      </c>
      <c r="J64" t="inlineStr">
        <is>
          <t>64x OSFP 800GbE; 1x SFP28 25GbE</t>
        </is>
      </c>
      <c r="N64" t="inlineStr">
        <is>
          <t>Spectrum-4 SN5000 2U 800GbE Ethernet switch: 64x OSFP 800GbE + 1x SFP28 25GbE</t>
        </is>
      </c>
      <c r="O64" s="6" t="inlineStr">
        <is>
          <t>https://networking-docs.nvidia.com/sn5000hw</t>
        </is>
      </c>
      <c r="P64" t="inlineStr">
        <is>
          <t>Ethernet switching SN5600D  Spectrum-4 SN5000 documented — 920-9N42F-00RI-KC0 800GbE  64x OSFP 800GbE; 1x SFP28 25GbE    Spectrum-4 SN5000 2U 800GbE Ethernet switch: 64x OSFP 800GbE + 1x SFP28 25GbE</t>
        </is>
      </c>
      <c r="Q64">
        <f>IF(AND(Search!$B$2&lt;&gt;"",ISNUMBER(SEARCH(Search!$B$2,P64))),MAX(Q$1:Q63)+1,"")</f>
        <v/>
      </c>
    </row>
    <row r="65">
      <c r="A65" t="inlineStr">
        <is>
          <t>Ethernet switching</t>
        </is>
      </c>
      <c r="B65" t="inlineStr">
        <is>
          <t>SN5400</t>
        </is>
      </c>
      <c r="D65" t="inlineStr">
        <is>
          <t>Spectrum-4 SN5000</t>
        </is>
      </c>
      <c r="E65" t="inlineStr">
        <is>
          <t>documented</t>
        </is>
      </c>
      <c r="F65" t="inlineStr">
        <is>
          <t>—</t>
        </is>
      </c>
      <c r="G65" t="inlineStr">
        <is>
          <t>920-9N42C-00RB-7C0, 920-9N42C-00FB-7C0</t>
        </is>
      </c>
      <c r="H65" t="inlineStr">
        <is>
          <t>400GbE</t>
        </is>
      </c>
      <c r="J65" t="inlineStr">
        <is>
          <t>64x QSFP-DD 400GbE; 2x SFP28 25GbE</t>
        </is>
      </c>
      <c r="N65" t="inlineStr">
        <is>
          <t>Spectrum-4 SN5000 2U 400GbE Ethernet switch: 64x QSFP-DD 400GbE + 2x SFP28 25GbE</t>
        </is>
      </c>
      <c r="O65" s="6" t="inlineStr">
        <is>
          <t>https://networking-docs.nvidia.com/sn5000hw</t>
        </is>
      </c>
      <c r="P65" t="inlineStr">
        <is>
          <t>Ethernet switching SN5400  Spectrum-4 SN5000 documented — 920-9N42C-00RB-7C0, 920-9N42C-00FB-7C0 400GbE  64x QSFP-DD 400GbE; 2x SFP28 25GbE    Spectrum-4 SN5000 2U 400GbE Ethernet switch: 64x QSFP-DD 400GbE + 2x SFP28 25GbE</t>
        </is>
      </c>
      <c r="Q65">
        <f>IF(AND(Search!$B$2&lt;&gt;"",ISNUMBER(SEARCH(Search!$B$2,P65))),MAX(Q$1:Q64)+1,"")</f>
        <v/>
      </c>
    </row>
    <row r="66">
      <c r="A66" t="inlineStr">
        <is>
          <t>Ethernet switching</t>
        </is>
      </c>
      <c r="B66" t="inlineStr">
        <is>
          <t>SN4600C</t>
        </is>
      </c>
      <c r="D66" t="inlineStr">
        <is>
          <t>Spectrum-3 SN4000</t>
        </is>
      </c>
      <c r="E66" t="inlineStr">
        <is>
          <t>documented</t>
        </is>
      </c>
      <c r="F66" t="inlineStr">
        <is>
          <t>MSN4600-CS2FC / MSN4600-CS2RC</t>
        </is>
      </c>
      <c r="G66" t="inlineStr">
        <is>
          <t>920-9N302-00F7-0C2, 920-9N302-00R7-0C0</t>
        </is>
      </c>
      <c r="H66" t="inlineStr">
        <is>
          <t>100GbE</t>
        </is>
      </c>
      <c r="J66" t="inlineStr">
        <is>
          <t>64x QSFP28 100GbE</t>
        </is>
      </c>
      <c r="N66" t="inlineStr">
        <is>
          <t>Spectrum-3 SN4000 2U 100GbE Ethernet switch: 64x QSFP28 100GbE</t>
        </is>
      </c>
      <c r="O66" s="6" t="inlineStr">
        <is>
          <t>https://networking-docs.nvidia.com/sn4000hw</t>
        </is>
      </c>
      <c r="P66" t="inlineStr">
        <is>
          <t>Ethernet switching SN4600C  Spectrum-3 SN4000 documented MSN4600-CS2FC / MSN4600-CS2RC 920-9N302-00F7-0C2, 920-9N302-00R7-0C0 100GbE  64x QSFP28 100GbE    Spectrum-3 SN4000 2U 100GbE Ethernet switch: 64x QSFP28 100GbE</t>
        </is>
      </c>
      <c r="Q66">
        <f>IF(AND(Search!$B$2&lt;&gt;"",ISNUMBER(SEARCH(Search!$B$2,P66))),MAX(Q$1:Q65)+1,"")</f>
        <v/>
      </c>
    </row>
    <row r="67">
      <c r="A67" t="inlineStr">
        <is>
          <t>Ethernet switching</t>
        </is>
      </c>
      <c r="B67" t="inlineStr">
        <is>
          <t>SN4700</t>
        </is>
      </c>
      <c r="D67" t="inlineStr">
        <is>
          <t>Spectrum-3 SN4000</t>
        </is>
      </c>
      <c r="E67" t="inlineStr">
        <is>
          <t>documented</t>
        </is>
      </c>
      <c r="F67" t="inlineStr">
        <is>
          <t>MSN4700-WS2FC / MSN4700-WS2RC</t>
        </is>
      </c>
      <c r="G67" t="inlineStr">
        <is>
          <t>920-9N301-00FB-0C0, 920-9N301-00RB-0C0</t>
        </is>
      </c>
      <c r="H67" t="inlineStr">
        <is>
          <t>400GbE</t>
        </is>
      </c>
      <c r="J67" t="inlineStr">
        <is>
          <t>32x QSFP-DD 400GbE</t>
        </is>
      </c>
      <c r="N67" t="inlineStr">
        <is>
          <t>Spectrum-3 SN4000 1U 400GbE Ethernet switch: 32x QSFP-DD 400GbE</t>
        </is>
      </c>
      <c r="O67" s="6" t="inlineStr">
        <is>
          <t>https://networking-docs.nvidia.com/sn4000hw</t>
        </is>
      </c>
      <c r="P67" t="inlineStr">
        <is>
          <t>Ethernet switching SN4700  Spectrum-3 SN4000 documented MSN4700-WS2FC / MSN4700-WS2RC 920-9N301-00FB-0C0, 920-9N301-00RB-0C0 400GbE  32x QSFP-DD 400GbE    Spectrum-3 SN4000 1U 400GbE Ethernet switch: 32x QSFP-DD 400GbE</t>
        </is>
      </c>
      <c r="Q67">
        <f>IF(AND(Search!$B$2&lt;&gt;"",ISNUMBER(SEARCH(Search!$B$2,P67))),MAX(Q$1:Q66)+1,"")</f>
        <v/>
      </c>
    </row>
    <row r="68">
      <c r="A68" t="inlineStr">
        <is>
          <t>Ethernet switching</t>
        </is>
      </c>
      <c r="B68" t="inlineStr">
        <is>
          <t>SN3420</t>
        </is>
      </c>
      <c r="D68" t="inlineStr">
        <is>
          <t>Spectrum-2 SN3000</t>
        </is>
      </c>
      <c r="E68" t="inlineStr">
        <is>
          <t>documented</t>
        </is>
      </c>
      <c r="F68" t="inlineStr">
        <is>
          <t>MSN3420-CB2FC / MSN3420-CB2RC</t>
        </is>
      </c>
      <c r="G68" t="inlineStr">
        <is>
          <t>920-9N213-00F7-0C0, 920-9N213-00R7-0C0</t>
        </is>
      </c>
      <c r="H68" t="inlineStr">
        <is>
          <t>100GbE</t>
        </is>
      </c>
      <c r="J68" t="inlineStr">
        <is>
          <t>12x QSFP28 100GbE; 48x SFP28 25GbE</t>
        </is>
      </c>
      <c r="N68" t="inlineStr">
        <is>
          <t>Spectrum-2 SN3000 1U 100GbE Ethernet switch: 12x QSFP28 100GbE + 48x SFP28 25GbE</t>
        </is>
      </c>
      <c r="O68" s="6" t="inlineStr">
        <is>
          <t>https://networking-docs.nvidia.com/sn3000hw</t>
        </is>
      </c>
      <c r="P68" t="inlineStr">
        <is>
          <t>Ethernet switching SN3420  Spectrum-2 SN3000 documented MSN3420-CB2FC / MSN3420-CB2RC 920-9N213-00F7-0C0, 920-9N213-00R7-0C0 100GbE  12x QSFP28 100GbE; 48x SFP28 25GbE    Spectrum-2 SN3000 1U 100GbE Ethernet switch: 12x QSFP28 100GbE + 48x SFP28 25GbE</t>
        </is>
      </c>
      <c r="Q68">
        <f>IF(AND(Search!$B$2&lt;&gt;"",ISNUMBER(SEARCH(Search!$B$2,P68))),MAX(Q$1:Q67)+1,"")</f>
        <v/>
      </c>
    </row>
    <row r="69">
      <c r="A69" t="inlineStr">
        <is>
          <t>Ethernet switching</t>
        </is>
      </c>
      <c r="B69" t="inlineStr">
        <is>
          <t>SN2201</t>
        </is>
      </c>
      <c r="D69" t="inlineStr">
        <is>
          <t>Spectrum SN2000</t>
        </is>
      </c>
      <c r="E69" t="inlineStr">
        <is>
          <t>documented</t>
        </is>
      </c>
      <c r="F69" t="inlineStr">
        <is>
          <t>MSN2201-CB2FC / MSN2201-CB2RC</t>
        </is>
      </c>
      <c r="G69" t="inlineStr">
        <is>
          <t>920-9N110-00F1-0C0, 920-9N110-00R1-0C0</t>
        </is>
      </c>
      <c r="H69" t="inlineStr">
        <is>
          <t>100GbE</t>
        </is>
      </c>
      <c r="J69" t="inlineStr">
        <is>
          <t>48x RJ45 fixed; 4x QSFP28 100GbE</t>
        </is>
      </c>
      <c r="N69" t="inlineStr">
        <is>
          <t>Spectrum SN2000 1U 100GbE Ethernet switch: 48x RJ45 + 4x QSFP28 100GbE</t>
        </is>
      </c>
      <c r="O69" s="6" t="inlineStr">
        <is>
          <t>https://networking-docs.nvidia.com/sn2201hw</t>
        </is>
      </c>
      <c r="P69" t="inlineStr">
        <is>
          <t>Ethernet switching SN2201  Spectrum SN2000 documented MSN2201-CB2FC / MSN2201-CB2RC 920-9N110-00F1-0C0, 920-9N110-00R1-0C0 100GbE  48x RJ45 fixed; 4x QSFP28 100GbE    Spectrum SN2000 1U 100GbE Ethernet switch: 48x RJ45 + 4x QSFP28 100GbE</t>
        </is>
      </c>
      <c r="Q69">
        <f>IF(AND(Search!$B$2&lt;&gt;"",ISNUMBER(SEARCH(Search!$B$2,P69))),MAX(Q$1:Q68)+1,"")</f>
        <v/>
      </c>
    </row>
    <row r="70">
      <c r="A70" t="inlineStr">
        <is>
          <t>Ethernet switching</t>
        </is>
      </c>
      <c r="B70" t="inlineStr">
        <is>
          <t>SN4600</t>
        </is>
      </c>
      <c r="D70" t="inlineStr">
        <is>
          <t>Spectrum-3 SN4000</t>
        </is>
      </c>
      <c r="E70" t="inlineStr">
        <is>
          <t>documented</t>
        </is>
      </c>
      <c r="F70" t="inlineStr">
        <is>
          <t>MSN4600-CS2FC / MSN4600-CS2RC</t>
        </is>
      </c>
      <c r="G70" t="inlineStr">
        <is>
          <t>920-9N302-00F7-0C2, 920-9N302-00R7-0C0</t>
        </is>
      </c>
      <c r="H70" t="inlineStr">
        <is>
          <t>100GbE</t>
        </is>
      </c>
      <c r="J70" t="inlineStr">
        <is>
          <t>64x QSFP28 100GbE</t>
        </is>
      </c>
      <c r="N70" t="inlineStr">
        <is>
          <t>Spectrum-3 SN4000 2U 100GbE Ethernet switch: 64x QSFP28 100GbE</t>
        </is>
      </c>
      <c r="O70" s="6" t="inlineStr">
        <is>
          <t>https://networking-docs.nvidia.com/sn4000hw</t>
        </is>
      </c>
      <c r="P70" t="inlineStr">
        <is>
          <t>Ethernet switching SN4600  Spectrum-3 SN4000 documented MSN4600-CS2FC / MSN4600-CS2RC 920-9N302-00F7-0C2, 920-9N302-00R7-0C0 100GbE  64x QSFP28 100GbE    Spectrum-3 SN4000 2U 100GbE Ethernet switch: 64x QSFP28 100GbE</t>
        </is>
      </c>
      <c r="Q70">
        <f>IF(AND(Search!$B$2&lt;&gt;"",ISNUMBER(SEARCH(Search!$B$2,P70))),MAX(Q$1:Q69)+1,"")</f>
        <v/>
      </c>
    </row>
    <row r="71">
      <c r="A71" t="inlineStr">
        <is>
          <t>Ethernet switching</t>
        </is>
      </c>
      <c r="B71" t="inlineStr">
        <is>
          <t>SN4700D</t>
        </is>
      </c>
      <c r="D71" t="inlineStr">
        <is>
          <t>Spectrum-3 SN4000</t>
        </is>
      </c>
      <c r="E71" t="inlineStr">
        <is>
          <t>documented</t>
        </is>
      </c>
      <c r="F71" t="inlineStr">
        <is>
          <t>MSN4700-WSARC</t>
        </is>
      </c>
      <c r="G71" t="inlineStr">
        <is>
          <t>920-9N301-00RB-NC0</t>
        </is>
      </c>
      <c r="H71" t="inlineStr">
        <is>
          <t>400GbE</t>
        </is>
      </c>
      <c r="J71" t="inlineStr">
        <is>
          <t>32x QSFP-DD 400GbE</t>
        </is>
      </c>
      <c r="N71" t="inlineStr">
        <is>
          <t>Spectrum-3 SN4000 1U 400GbE Ethernet switch: 32x QSFP-DD 400GbE</t>
        </is>
      </c>
      <c r="O71" s="6" t="inlineStr">
        <is>
          <t>https://networking-docs.nvidia.com/sn4000hw</t>
        </is>
      </c>
      <c r="P71" t="inlineStr">
        <is>
          <t>Ethernet switching SN4700D  Spectrum-3 SN4000 documented MSN4700-WSARC 920-9N301-00RB-NC0 400GbE  32x QSFP-DD 400GbE    Spectrum-3 SN4000 1U 400GbE Ethernet switch: 32x QSFP-DD 400GbE</t>
        </is>
      </c>
      <c r="Q71">
        <f>IF(AND(Search!$B$2&lt;&gt;"",ISNUMBER(SEARCH(Search!$B$2,P71))),MAX(Q$1:Q70)+1,"")</f>
        <v/>
      </c>
    </row>
    <row r="72">
      <c r="A72" t="inlineStr">
        <is>
          <t>InfiniBand switching / appliances / gateways</t>
        </is>
      </c>
      <c r="B72" t="inlineStr">
        <is>
          <t>Q3200-RA</t>
        </is>
      </c>
      <c r="D72" t="inlineStr">
        <is>
          <t>Quantum-X800</t>
        </is>
      </c>
      <c r="E72" t="inlineStr">
        <is>
          <t>documented</t>
        </is>
      </c>
      <c r="F72" t="inlineStr">
        <is>
          <t>—</t>
        </is>
      </c>
      <c r="G72" t="inlineStr">
        <is>
          <t>920-9B34F-00RX-FS0</t>
        </is>
      </c>
      <c r="H72" t="inlineStr">
        <is>
          <t>800Gb/s XDR</t>
        </is>
      </c>
      <c r="J72" t="inlineStr">
        <is>
          <t>36x OSFP 800Gb/s XDR (twin-port, 72 ports)</t>
        </is>
      </c>
      <c r="N72" t="inlineStr">
        <is>
          <t>Quantum-X800 800Gb/s XDR: 2x18 OSFP</t>
        </is>
      </c>
      <c r="O72" s="6" t="inlineStr">
        <is>
          <t>https://networking-docs.nvidia.com/switches#nvidiatab-hw-documentation</t>
        </is>
      </c>
      <c r="P72" t="inlineStr">
        <is>
          <t>InfiniBand switching / appliances / gateways Q3200-RA  Quantum-X800 documented — 920-9B34F-00RX-FS0 800Gb/s XDR  36x OSFP 800Gb/s XDR (twin-port, 72 ports)    Quantum-X800 800Gb/s XDR: 2x18 OSFP</t>
        </is>
      </c>
      <c r="Q72">
        <f>IF(AND(Search!$B$2&lt;&gt;"",ISNUMBER(SEARCH(Search!$B$2,P72))),MAX(Q$1:Q71)+1,"")</f>
        <v/>
      </c>
    </row>
    <row r="73">
      <c r="A73" t="inlineStr">
        <is>
          <t>InfiniBand switching / appliances / gateways</t>
        </is>
      </c>
      <c r="B73" t="inlineStr">
        <is>
          <t>Q3400-RA</t>
        </is>
      </c>
      <c r="D73" t="inlineStr">
        <is>
          <t>Quantum-X800</t>
        </is>
      </c>
      <c r="E73" t="inlineStr">
        <is>
          <t>documented</t>
        </is>
      </c>
      <c r="F73" t="inlineStr">
        <is>
          <t>—</t>
        </is>
      </c>
      <c r="G73" t="inlineStr">
        <is>
          <t>920-9B36F-00RX-8S0</t>
        </is>
      </c>
      <c r="H73" t="inlineStr">
        <is>
          <t>800Gb/s XDR</t>
        </is>
      </c>
      <c r="J73" t="inlineStr">
        <is>
          <t>72x OSFP 800Gb/s XDR (twin-port, 144 ports)</t>
        </is>
      </c>
      <c r="N73" t="inlineStr">
        <is>
          <t>Quantum-X800 800Gb/s XDR: 72x OSFP</t>
        </is>
      </c>
      <c r="O73" s="6" t="inlineStr">
        <is>
          <t>https://networking-docs.nvidia.com/switches#nvidiatab-hw-documentation</t>
        </is>
      </c>
      <c r="P73" t="inlineStr">
        <is>
          <t>InfiniBand switching / appliances / gateways Q3400-RA  Quantum-X800 documented — 920-9B36F-00RX-8S0 800Gb/s XDR  72x OSFP 800Gb/s XDR (twin-port, 144 ports)    Quantum-X800 800Gb/s XDR: 72x OSFP</t>
        </is>
      </c>
      <c r="Q73">
        <f>IF(AND(Search!$B$2&lt;&gt;"",ISNUMBER(SEARCH(Search!$B$2,P73))),MAX(Q$1:Q72)+1,"")</f>
        <v/>
      </c>
    </row>
    <row r="74">
      <c r="A74" t="inlineStr">
        <is>
          <t>InfiniBand switching / appliances / gateways</t>
        </is>
      </c>
      <c r="B74" t="inlineStr">
        <is>
          <t>Q3401-RD</t>
        </is>
      </c>
      <c r="D74" t="inlineStr">
        <is>
          <t>Quantum-X800</t>
        </is>
      </c>
      <c r="E74" t="inlineStr">
        <is>
          <t>documented</t>
        </is>
      </c>
      <c r="F74" t="inlineStr">
        <is>
          <t>—</t>
        </is>
      </c>
      <c r="G74" t="inlineStr">
        <is>
          <t>920-9B36P-00RX-8S0</t>
        </is>
      </c>
      <c r="H74" t="inlineStr">
        <is>
          <t>800Gb/s XDR</t>
        </is>
      </c>
      <c r="J74" t="inlineStr">
        <is>
          <t>72x OSFP 800Gb/s XDR (twin-port, 144 ports)</t>
        </is>
      </c>
      <c r="N74" t="inlineStr">
        <is>
          <t>Quantum-X800 800Gb/s XDR: 72x OSFP</t>
        </is>
      </c>
      <c r="O74" s="6" t="inlineStr">
        <is>
          <t>https://networking-docs.nvidia.com/switches#nvidiatab-hw-documentation</t>
        </is>
      </c>
      <c r="P74" t="inlineStr">
        <is>
          <t>InfiniBand switching / appliances / gateways Q3401-RD  Quantum-X800 documented — 920-9B36P-00RX-8S0 800Gb/s XDR  72x OSFP 800Gb/s XDR (twin-port, 144 ports)    Quantum-X800 800Gb/s XDR: 72x OSFP</t>
        </is>
      </c>
      <c r="Q74">
        <f>IF(AND(Search!$B$2&lt;&gt;"",ISNUMBER(SEARCH(Search!$B$2,P74))),MAX(Q$1:Q73)+1,"")</f>
        <v/>
      </c>
    </row>
    <row r="75">
      <c r="A75" t="inlineStr">
        <is>
          <t>InfiniBand switching / appliances / gateways</t>
        </is>
      </c>
      <c r="B75" t="inlineStr">
        <is>
          <t>Q3450-LD</t>
        </is>
      </c>
      <c r="D75" t="inlineStr">
        <is>
          <t>Quantum-X Photonics / Quantum-X800</t>
        </is>
      </c>
      <c r="E75" t="inlineStr">
        <is>
          <t>documented</t>
        </is>
      </c>
      <c r="F75" t="inlineStr">
        <is>
          <t>—</t>
        </is>
      </c>
      <c r="G75" t="inlineStr">
        <is>
          <t>920-9B36M-00MX-8ES</t>
        </is>
      </c>
      <c r="H75" t="inlineStr">
        <is>
          <t>800Gb/s XDR</t>
        </is>
      </c>
      <c r="J75" t="inlineStr">
        <is>
          <t>144x MPO-12 CPO 800Gb/s XDR fixed</t>
        </is>
      </c>
      <c r="N75" t="inlineStr">
        <is>
          <t>Quantum-X Photonics / Quantum-X800 800Gb/s XDR: 144x MPO12 CPO</t>
        </is>
      </c>
      <c r="O75" s="6" t="inlineStr">
        <is>
          <t>https://networking-docs.nvidia.com/switches#nvidiatab-hw-documentation</t>
        </is>
      </c>
      <c r="P75" t="inlineStr">
        <is>
          <t>InfiniBand switching / appliances / gateways Q3450-LD  Quantum-X Photonics / Quantum-X800 documented — 920-9B36M-00MX-8ES 800Gb/s XDR  144x MPO-12 CPO 800Gb/s XDR fixed    Quantum-X Photonics / Quantum-X800 800Gb/s XDR: 144x MPO12 CPO</t>
        </is>
      </c>
      <c r="Q75">
        <f>IF(AND(Search!$B$2&lt;&gt;"",ISNUMBER(SEARCH(Search!$B$2,P75))),MAX(Q$1:Q74)+1,"")</f>
        <v/>
      </c>
    </row>
    <row r="76">
      <c r="A76" t="inlineStr">
        <is>
          <t>InfiniBand switching / appliances / gateways</t>
        </is>
      </c>
      <c r="B76" t="inlineStr">
        <is>
          <t>QM9700 family</t>
        </is>
      </c>
      <c r="D76" t="inlineStr">
        <is>
          <t>Quantum-2</t>
        </is>
      </c>
      <c r="E76" t="inlineStr">
        <is>
          <t>documented</t>
        </is>
      </c>
      <c r="F76" t="inlineStr">
        <is>
          <t>—</t>
        </is>
      </c>
      <c r="G76" t="inlineStr">
        <is>
          <t>—</t>
        </is>
      </c>
      <c r="H76" t="inlineStr">
        <is>
          <t>400Gb/s NDR</t>
        </is>
      </c>
      <c r="J76" t="inlineStr">
        <is>
          <t>OSFP 400Gb/s NDR</t>
        </is>
      </c>
      <c r="N76" t="inlineStr">
        <is>
          <t>Quantum-2 400Gb/s NDR: OSFP</t>
        </is>
      </c>
      <c r="O76" s="6" t="inlineStr">
        <is>
          <t>https://networking-docs.nvidia.com/switches#nvidiatab-hw-documentation</t>
        </is>
      </c>
      <c r="P76" t="inlineStr">
        <is>
          <t>InfiniBand switching / appliances / gateways QM9700 family  Quantum-2 documented — — 400Gb/s NDR  OSFP 400Gb/s NDR    Quantum-2 400Gb/s NDR: OSFP</t>
        </is>
      </c>
      <c r="Q76">
        <f>IF(AND(Search!$B$2&lt;&gt;"",ISNUMBER(SEARCH(Search!$B$2,P76))),MAX(Q$1:Q75)+1,"")</f>
        <v/>
      </c>
    </row>
    <row r="77">
      <c r="A77" t="inlineStr">
        <is>
          <t>InfiniBand switching / appliances / gateways</t>
        </is>
      </c>
      <c r="B77" t="inlineStr">
        <is>
          <t>Skyway</t>
        </is>
      </c>
      <c r="D77" t="inlineStr">
        <is>
          <t>InfiniBand-to-Ethernet Gateway</t>
        </is>
      </c>
      <c r="E77" t="inlineStr">
        <is>
          <t>documented</t>
        </is>
      </c>
      <c r="F77" t="inlineStr">
        <is>
          <t>—</t>
        </is>
      </c>
      <c r="G77" t="inlineStr">
        <is>
          <t>—</t>
        </is>
      </c>
      <c r="H77" t="inlineStr">
        <is>
          <t>100/200 Gb/s per port</t>
        </is>
      </c>
      <c r="J77" t="inlineStr">
        <is>
          <t>8x QSFP56 100/200 Gb/s [InfiniBand]; 8x QSFP56 100/200 Gb/s [Ethernet]</t>
        </is>
      </c>
      <c r="N77" t="inlineStr">
        <is>
          <t>InfiniBand-to-Ethernet Gateway 100/200 Gb/s per port: 8 ports per InfiniBand and Ethernet side</t>
        </is>
      </c>
      <c r="O77" s="6" t="inlineStr">
        <is>
          <t>https://networking-docs.nvidia.com/skyway</t>
        </is>
      </c>
      <c r="P77" t="inlineStr">
        <is>
          <t>InfiniBand switching / appliances / gateways Skyway  InfiniBand-to-Ethernet Gateway documented — — 100/200 Gb/s per port  8x QSFP56 100/200 Gb/s [InfiniBand]; 8x QSFP56 100/200 Gb/s [Ethernet]    InfiniBand-to-Ethernet Gateway 100/200 Gb/s per port: 8 ports per InfiniBand and Ethernet side</t>
        </is>
      </c>
      <c r="Q77">
        <f>IF(AND(Search!$B$2&lt;&gt;"",ISNUMBER(SEARCH(Search!$B$2,P77))),MAX(Q$1:Q76)+1,"")</f>
        <v/>
      </c>
    </row>
    <row r="78">
      <c r="A78" t="inlineStr">
        <is>
          <t>InfiniBand switching / appliances / gateways</t>
        </is>
      </c>
      <c r="B78" t="inlineStr">
        <is>
          <t>MetroX-3 XC</t>
        </is>
      </c>
      <c r="D78" t="inlineStr">
        <is>
          <t>Long-haul InfiniBand</t>
        </is>
      </c>
      <c r="E78" t="inlineStr">
        <is>
          <t>end_of_life</t>
        </is>
      </c>
      <c r="F78" t="inlineStr">
        <is>
          <t>MTQ8400-HS2R / MTQ8400-HS2RC</t>
        </is>
      </c>
      <c r="G78" t="inlineStr">
        <is>
          <t>920-9B020-00FA-0DZ, 920-9B020-00FA-6DZ</t>
        </is>
      </c>
      <c r="H78" t="inlineStr">
        <is>
          <t>InfiniBand extension</t>
        </is>
      </c>
      <c r="J78" t="inlineStr">
        <is>
          <t>OSFP; 2x QSFP112 100Gb/s long-haul (DWDM-ready)</t>
        </is>
      </c>
      <c r="N78" t="inlineStr">
        <is>
          <t>Long-haul InfiniBand InfiniBand extension</t>
        </is>
      </c>
      <c r="O78" s="6" t="inlineStr">
        <is>
          <t>https://networking-docs.nvidia.com/metrox3xc</t>
        </is>
      </c>
      <c r="P78" t="inlineStr">
        <is>
          <t>InfiniBand switching / appliances / gateways MetroX-3 XC  Long-haul InfiniBand end_of_life MTQ8400-HS2R / MTQ8400-HS2RC 920-9B020-00FA-0DZ, 920-9B020-00FA-6DZ InfiniBand extension  OSFP; 2x QSFP112 100Gb/s long-haul (DWDM-ready)    Long-haul InfiniBand InfiniBand extension</t>
        </is>
      </c>
      <c r="Q78">
        <f>IF(AND(Search!$B$2&lt;&gt;"",ISNUMBER(SEARCH(Search!$B$2,P78))),MAX(Q$1:Q77)+1,"")</f>
        <v/>
      </c>
    </row>
    <row r="79">
      <c r="A79" t="inlineStr">
        <is>
          <t>InfiniBand switching / appliances / gateways</t>
        </is>
      </c>
      <c r="B79" t="inlineStr">
        <is>
          <t>UFM Telemetry</t>
        </is>
      </c>
      <c r="D79" t="inlineStr">
        <is>
          <t>UFM platform</t>
        </is>
      </c>
      <c r="E79" t="inlineStr">
        <is>
          <t>documented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J79" t="inlineStr">
        <is>
          <t>—</t>
        </is>
      </c>
      <c r="N79" t="inlineStr">
        <is>
          <t>UFM platform</t>
        </is>
      </c>
      <c r="O79" s="6" t="inlineStr">
        <is>
          <t>https://networking-docs.nvidia.com/switches#nvidiatab-hw-documentation</t>
        </is>
      </c>
      <c r="P79" t="inlineStr">
        <is>
          <t>InfiniBand switching / appliances / gateways UFM Telemetry  UFM platform documented — — —  —    UFM platform</t>
        </is>
      </c>
      <c r="Q79">
        <f>IF(AND(Search!$B$2&lt;&gt;"",ISNUMBER(SEARCH(Search!$B$2,P79))),MAX(Q$1:Q78)+1,"")</f>
        <v/>
      </c>
    </row>
    <row r="80">
      <c r="A80" t="inlineStr">
        <is>
          <t>InfiniBand switching / appliances / gateways</t>
        </is>
      </c>
      <c r="B80" t="inlineStr">
        <is>
          <t>UFM Enterprise</t>
        </is>
      </c>
      <c r="D80" t="inlineStr">
        <is>
          <t>UFM platform</t>
        </is>
      </c>
      <c r="E80" t="inlineStr">
        <is>
          <t>documented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J80" t="inlineStr">
        <is>
          <t>—</t>
        </is>
      </c>
      <c r="N80" t="inlineStr">
        <is>
          <t>UFM platform</t>
        </is>
      </c>
      <c r="O80" s="6" t="inlineStr">
        <is>
          <t>https://networking-docs.nvidia.com/switches#nvidiatab-hw-documentation</t>
        </is>
      </c>
      <c r="P80" t="inlineStr">
        <is>
          <t>InfiniBand switching / appliances / gateways UFM Enterprise  UFM platform documented — — —  —    UFM platform</t>
        </is>
      </c>
      <c r="Q80">
        <f>IF(AND(Search!$B$2&lt;&gt;"",ISNUMBER(SEARCH(Search!$B$2,P80))),MAX(Q$1:Q79)+1,"")</f>
        <v/>
      </c>
    </row>
    <row r="81">
      <c r="A81" t="inlineStr">
        <is>
          <t>InfiniBand switching / appliances / gateways</t>
        </is>
      </c>
      <c r="B81" t="inlineStr">
        <is>
          <t>UFM Cyber-AI</t>
        </is>
      </c>
      <c r="D81" t="inlineStr">
        <is>
          <t>UFM platform</t>
        </is>
      </c>
      <c r="E81" t="inlineStr">
        <is>
          <t>documented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J81" t="inlineStr">
        <is>
          <t>—</t>
        </is>
      </c>
      <c r="N81" t="inlineStr">
        <is>
          <t>UFM platform</t>
        </is>
      </c>
      <c r="O81" s="6" t="inlineStr">
        <is>
          <t>https://networking-docs.nvidia.com/switches#nvidiatab-hw-documentation</t>
        </is>
      </c>
      <c r="P81" t="inlineStr">
        <is>
          <t>InfiniBand switching / appliances / gateways UFM Cyber-AI  UFM platform documented — — —  —    UFM platform</t>
        </is>
      </c>
      <c r="Q81">
        <f>IF(AND(Search!$B$2&lt;&gt;"",ISNUMBER(SEARCH(Search!$B$2,P81))),MAX(Q$1:Q80)+1,"")</f>
        <v/>
      </c>
    </row>
    <row r="82">
      <c r="A82" t="inlineStr">
        <is>
          <t>InfiniBand switching / appliances / gateways</t>
        </is>
      </c>
      <c r="B82" t="inlineStr">
        <is>
          <t>Skyway-3</t>
        </is>
      </c>
      <c r="D82" t="inlineStr">
        <is>
          <t>InfiniBand-to-Ethernet Gateway</t>
        </is>
      </c>
      <c r="E82" t="inlineStr">
        <is>
          <t>active</t>
        </is>
      </c>
      <c r="F82" t="inlineStr">
        <is>
          <t>—</t>
        </is>
      </c>
      <c r="G82" t="inlineStr">
        <is>
          <t>920-9B02D-00RG-CF0, MGA400-XS2</t>
        </is>
      </c>
      <c r="H82" t="inlineStr">
        <is>
          <t>XDR/Ethernet gateway</t>
        </is>
      </c>
      <c r="J82" t="inlineStr">
        <is>
          <t>8x QSFP112 [InfiniBand]; 8x QSFP112 [Ethernet]</t>
        </is>
      </c>
      <c r="N82" t="inlineStr">
        <is>
          <t>InfiniBand-to-Ethernet Gateway XDR/Ethernet gateway: 8x IB + 8x Ethernet QSFP112</t>
        </is>
      </c>
      <c r="O82" s="6" t="inlineStr">
        <is>
          <t>https://networking-docs.nvidia.com/skyway3hw</t>
        </is>
      </c>
      <c r="P82" t="inlineStr">
        <is>
          <t>InfiniBand switching / appliances / gateways Skyway-3  InfiniBand-to-Ethernet Gateway active — 920-9B02D-00RG-CF0, MGA400-XS2 XDR/Ethernet gateway  8x QSFP112 [InfiniBand]; 8x QSFP112 [Ethernet]    InfiniBand-to-Ethernet Gateway XDR/Ethernet gateway: 8x IB + 8x Ethernet QSFP112</t>
        </is>
      </c>
      <c r="Q82">
        <f>IF(AND(Search!$B$2&lt;&gt;"",ISNUMBER(SEARCH(Search!$B$2,P82))),MAX(Q$1:Q81)+1,"")</f>
        <v/>
      </c>
    </row>
    <row r="83">
      <c r="A83" t="inlineStr">
        <is>
          <t>Silicon Photonics</t>
        </is>
      </c>
      <c r="B83" t="inlineStr">
        <is>
          <t>Q3450-LD</t>
        </is>
      </c>
      <c r="D83" t="inlineStr">
        <is>
          <t>Quantum-X InfiniBand Photonics</t>
        </is>
      </c>
      <c r="E83" t="inlineStr">
        <is>
          <t>documented</t>
        </is>
      </c>
      <c r="F83" t="inlineStr">
        <is>
          <t>—</t>
        </is>
      </c>
      <c r="G83" t="inlineStr">
        <is>
          <t>920-9B36M-00MX-8ES</t>
        </is>
      </c>
      <c r="H83" t="inlineStr">
        <is>
          <t>800Gb/s XDR</t>
        </is>
      </c>
      <c r="J83" t="inlineStr">
        <is>
          <t>144x MPO-12 CPO 800Gb/s XDR fixed</t>
        </is>
      </c>
      <c r="N83" t="inlineStr">
        <is>
          <t>Quantum-X InfiniBand Photonics: co-packaged optics, 800Gb/s XDR, 115.2 Tb/s</t>
        </is>
      </c>
      <c r="O83" s="6" t="inlineStr">
        <is>
          <t>https://networking-docs.nvidia.com/xdrswitcheshw</t>
        </is>
      </c>
      <c r="P83" t="inlineStr">
        <is>
          <t>Silicon Photonics Q3450-LD  Quantum-X InfiniBand Photonics documented — 920-9B36M-00MX-8ES 800Gb/s XDR  144x MPO-12 CPO 800Gb/s XDR fixed    Quantum-X InfiniBand Photonics: co-packaged optics, 800Gb/s XDR, 115.2 Tb/s</t>
        </is>
      </c>
      <c r="Q83">
        <f>IF(AND(Search!$B$2&lt;&gt;"",ISNUMBER(SEARCH(Search!$B$2,P83))),MAX(Q$1:Q82)+1,"")</f>
        <v/>
      </c>
    </row>
    <row r="84">
      <c r="A84" t="inlineStr">
        <is>
          <t>Silicon Photonics</t>
        </is>
      </c>
      <c r="B84" t="inlineStr">
        <is>
          <t>Spectrum-X Ethernet Photonics Switches</t>
        </is>
      </c>
      <c r="D84" t="inlineStr">
        <is>
          <t>Spectrum-X Ethernet Photonics</t>
        </is>
      </c>
      <c r="E84" t="inlineStr">
        <is>
          <t>active</t>
        </is>
      </c>
      <c r="F84" t="inlineStr">
        <is>
          <t>—</t>
        </is>
      </c>
      <c r="G84" t="inlineStr">
        <is>
          <t>—</t>
        </is>
      </c>
      <c r="H84" t="inlineStr">
        <is>
          <t>200G SerDes CPO architecture</t>
        </is>
      </c>
      <c r="J84" t="inlineStr">
        <is>
          <t>—</t>
        </is>
      </c>
      <c r="N84" t="inlineStr">
        <is>
          <t>Spectrum-X Ethernet Photonics: co-packaged optics, 200G SerDes CPO architecture, up to 409.6 Tb/s</t>
        </is>
      </c>
      <c r="O84" s="6" t="inlineStr">
        <is>
          <t>https://www.nvidia.com/en-us/networking/products/silicon-photonics/</t>
        </is>
      </c>
      <c r="P84" t="inlineStr">
        <is>
          <t>Silicon Photonics Spectrum-X Ethernet Photonics Switches  Spectrum-X Ethernet Photonics active — — 200G SerDes CPO architecture  —    Spectrum-X Ethernet Photonics: co-packaged optics, 200G SerDes CPO architecture, up to 409.6 Tb/s</t>
        </is>
      </c>
      <c r="Q84">
        <f>IF(AND(Search!$B$2&lt;&gt;"",ISNUMBER(SEARCH(Search!$B$2,P84))),MAX(Q$1:Q83)+1,"")</f>
        <v/>
      </c>
    </row>
    <row r="85">
      <c r="A85" t="inlineStr">
        <is>
          <t>DPU</t>
        </is>
      </c>
      <c r="B85" t="inlineStr">
        <is>
          <t>BlueField-4 DPU</t>
        </is>
      </c>
      <c r="D85" t="inlineStr">
        <is>
          <t>—</t>
        </is>
      </c>
      <c r="E85" t="inlineStr">
        <is>
          <t>documented</t>
        </is>
      </c>
      <c r="F85" t="inlineStr">
        <is>
          <t>—</t>
        </is>
      </c>
      <c r="G85" t="inlineStr">
        <is>
          <t>—</t>
        </is>
      </c>
      <c r="H85" t="inlineStr">
        <is>
          <t>800Gb/s</t>
        </is>
      </c>
      <c r="J85" t="inlineStr">
        <is>
          <t>QSFP112 800Gb/s</t>
        </is>
      </c>
      <c r="N85" t="inlineStr">
        <is>
          <t>BlueField-4 DPU, 800Gb/s: networking, storage, cybersecurity, secure multi-tenancy</t>
        </is>
      </c>
      <c r="O85" s="6" t="inlineStr">
        <is>
          <t>https://www.nvidia.com/en-eu/data-center/dgx-rubin-nvl8/</t>
        </is>
      </c>
      <c r="P85" t="inlineStr">
        <is>
          <t>DPU BlueField-4 DPU  — documented — — 800Gb/s  QSFP112 800Gb/s    BlueField-4 DPU, 800Gb/s: networking, storage, cybersecurity, secure multi-tenancy</t>
        </is>
      </c>
      <c r="Q85">
        <f>IF(AND(Search!$B$2&lt;&gt;"",ISNUMBER(SEARCH(Search!$B$2,P85))),MAX(Q$1:Q84)+1,"")</f>
        <v/>
      </c>
    </row>
    <row r="86">
      <c r="A86" t="inlineStr">
        <is>
          <t>DPU</t>
        </is>
      </c>
      <c r="B86" t="inlineStr">
        <is>
          <t>BlueField-4 STX Storage Processor</t>
        </is>
      </c>
      <c r="D86" t="inlineStr">
        <is>
          <t>—</t>
        </is>
      </c>
      <c r="E86" t="inlineStr">
        <is>
          <t>documented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J86" t="inlineStr">
        <is>
          <t>—</t>
        </is>
      </c>
      <c r="N86" t="inlineStr">
        <is>
          <t>BlueField-4 STX Storage Processor: AI-native storage, Vera CPU, in-silicon security</t>
        </is>
      </c>
      <c r="O86" s="6" t="inlineStr">
        <is>
          <t>https://www.nvidia.com/en-us/networking/products/data-processing-unit/</t>
        </is>
      </c>
      <c r="P86" t="inlineStr">
        <is>
          <t>DPU BlueField-4 STX Storage Processor  — documented — — —  —    BlueField-4 STX Storage Processor: AI-native storage, Vera CPU, in-silicon security</t>
        </is>
      </c>
      <c r="Q86">
        <f>IF(AND(Search!$B$2&lt;&gt;"",ISNUMBER(SEARCH(Search!$B$2,P86))),MAX(Q$1:Q85)+1,"")</f>
        <v/>
      </c>
    </row>
    <row r="87">
      <c r="A87" t="inlineStr">
        <is>
          <t>DPU</t>
        </is>
      </c>
      <c r="B87" t="inlineStr">
        <is>
          <t>BlueField-3 DPU</t>
        </is>
      </c>
      <c r="D87" t="inlineStr">
        <is>
          <t>—</t>
        </is>
      </c>
      <c r="E87" t="inlineStr">
        <is>
          <t>documented</t>
        </is>
      </c>
      <c r="F87" t="inlineStr">
        <is>
          <t>—</t>
        </is>
      </c>
      <c r="G87" t="inlineStr">
        <is>
          <t>900-9D3B6-00CC-AA0, 900-9D3B6-00CC-EA0, 900-9D3B6-00CN-AB0, 900-9D3B6-00CN-PA0, 900-9D3B6-00CV-AA0, 900-9D3B6-00SC-AA0, 900-9D3B6-00SC-EA0, 900-9D3B6-00SN-AB0, 900-9D3B6-00SV-AA0, 900-9D3L6-00CN-AA0</t>
        </is>
      </c>
      <c r="H87" t="inlineStr">
        <is>
          <t>400Gb/s</t>
        </is>
      </c>
      <c r="J87" t="inlineStr">
        <is>
          <t>QSFP112 400Gb/s; QSFP56 400Gb/s; QSFP28 400Gb/s</t>
        </is>
      </c>
      <c r="N87" t="inlineStr">
        <is>
          <t>BlueField-3 DPU, 400Gb/s: SDN, storage, cybersecurity, HPC, 5G</t>
        </is>
      </c>
      <c r="O87" s="6" t="inlineStr">
        <is>
          <t>https://networking-docs.nvidia.com/bf3dpu</t>
        </is>
      </c>
      <c r="P87" t="inlineStr">
        <is>
          <t>DPU BlueField-3 DPU  — documented — 900-9D3B6-00CC-AA0, 900-9D3B6-00CC-EA0, 900-9D3B6-00CN-AB0, 900-9D3B6-00CN-PA0, 900-9D3B6-00CV-AA0, 900-9D3B6-00SC-AA0, 900-9D3B6-00SC-EA0, 900-9D3B6-00SN-AB0, 900-9D3B6-00SV-AA0, 900-9D3L6-00CN-AA0 400Gb/s  QSFP112 400Gb/s; QSFP56 400Gb/s; QSFP28 400Gb/s    BlueField-3 DPU, 400Gb/s: SDN, storage, cybersecurity, HPC, 5G</t>
        </is>
      </c>
      <c r="Q87">
        <f>IF(AND(Search!$B$2&lt;&gt;"",ISNUMBER(SEARCH(Search!$B$2,P87))),MAX(Q$1:Q86)+1,"")</f>
        <v/>
      </c>
    </row>
    <row r="88">
      <c r="A88" t="inlineStr">
        <is>
          <t>SuperNIC</t>
        </is>
      </c>
      <c r="B88" t="inlineStr">
        <is>
          <t>ConnectX-9 SuperNIC</t>
        </is>
      </c>
      <c r="D88" t="inlineStr">
        <is>
          <t>—</t>
        </is>
      </c>
      <c r="E88" t="inlineStr">
        <is>
          <t>documented</t>
        </is>
      </c>
      <c r="F88" t="inlineStr">
        <is>
          <t>—</t>
        </is>
      </c>
      <c r="G88" t="inlineStr">
        <is>
          <t>900-9X91E-00EB-ST0, 900-9X91Q-00CN-ST0, 900-9X91E-00EB-DT0, 900-9X91E-00QB-ST0, 900-9X91Q-00RN-ST0, 900-9X91Q-00RV-ST0, 900-9X91Q-00RC-ST0</t>
        </is>
      </c>
      <c r="H88" t="inlineStr">
        <is>
          <t>up to 1.6 Tb/s per GPU</t>
        </is>
      </c>
      <c r="J88" t="inlineStr">
        <is>
          <t>1x OSFP 800GbE / XDR 800Gb/s (C9180); 2x QSFP112 2x400GbE / 400Gb/s IB (C9240); 2x QSFP112 400GbE (C9220); 2x QSFP112 200GbE (C9210)</t>
        </is>
      </c>
      <c r="N88" t="inlineStr">
        <is>
          <t>ConnectX-9 SuperNIC, up to 1.6 Tb/s per GPU: Spectrum-X Ethernet, AI fabrics</t>
        </is>
      </c>
      <c r="O88" s="6" t="inlineStr">
        <is>
          <t>https://networking-docs.nvidia.com/connectx9hw</t>
        </is>
      </c>
      <c r="P88" t="inlineStr">
        <is>
          <t>SuperNIC ConnectX-9 SuperNIC  — documented — 900-9X91E-00EB-ST0, 900-9X91Q-00CN-ST0, 900-9X91E-00EB-DT0, 900-9X91E-00QB-ST0, 900-9X91Q-00RN-ST0, 900-9X91Q-00RV-ST0, 900-9X91Q-00RC-ST0 up to 1.6 Tb/s per GPU  1x OSFP 800GbE / XDR 800Gb/s (C9180); 2x QSFP112 2x400GbE / 400Gb/s IB (C9240); 2x QSFP112 400GbE (C9220); 2x QSFP112 200GbE (C9210)    ConnectX-9 SuperNIC, up to 1.6 Tb/s per GPU: Spectrum-X Ethernet, AI fabrics</t>
        </is>
      </c>
      <c r="Q88">
        <f>IF(AND(Search!$B$2&lt;&gt;"",ISNUMBER(SEARCH(Search!$B$2,P88))),MAX(Q$1:Q87)+1,"")</f>
        <v/>
      </c>
    </row>
    <row r="89">
      <c r="A89" t="inlineStr">
        <is>
          <t>SuperNIC</t>
        </is>
      </c>
      <c r="B89" t="inlineStr">
        <is>
          <t>ConnectX-8 SuperNIC</t>
        </is>
      </c>
      <c r="D89" t="inlineStr">
        <is>
          <t>—</t>
        </is>
      </c>
      <c r="E89" t="inlineStr">
        <is>
          <t>documented</t>
        </is>
      </c>
      <c r="F89" t="inlineStr">
        <is>
          <t>—</t>
        </is>
      </c>
      <c r="G89" t="inlineStr">
        <is>
          <t>900-9X81E-00EX-ST0, 900-9X81Q-00CN-ST0, 900-9X81Q-00CV-ST0, 900-9X81E-00EX-DT0, 900-9X81E-00EX-SL0</t>
        </is>
      </c>
      <c r="H89" t="inlineStr">
        <is>
          <t>up to 800 Gb/s total network bandwidth</t>
        </is>
      </c>
      <c r="J89" t="inlineStr">
        <is>
          <t>1x OSFP XDR 800Gb/s / 2x400GbE (C8180); 2x QSFP112 400GbE / 400Gb/s IB (C8240); 2x QSFP112 up to 400Gb/s aggregate (C8220); 1x OSFP XDR 800Gb/s / 2x400GbE (C8180L Partner Cooled)</t>
        </is>
      </c>
      <c r="N89" t="inlineStr">
        <is>
          <t>ConnectX-8 SuperNIC, up to 800 Gb/s total network bandwidth: PCIe Gen6, Spectrum-X Ethernet, AI compute fabrics</t>
        </is>
      </c>
      <c r="O89" s="6" t="inlineStr">
        <is>
          <t>https://networking-docs.nvidia.com/connectx8hw</t>
        </is>
      </c>
      <c r="P89" t="inlineStr">
        <is>
          <t>SuperNIC ConnectX-8 SuperNIC  — documented — 900-9X81E-00EX-ST0, 900-9X81Q-00CN-ST0, 900-9X81Q-00CV-ST0, 900-9X81E-00EX-DT0, 900-9X81E-00EX-SL0 up to 800 Gb/s total network bandwidth  1x OSFP XDR 800Gb/s / 2x400GbE (C8180); 2x QSFP112 400GbE / 400Gb/s IB (C8240); 2x QSFP112 up to 400Gb/s aggregate (C8220); 1x OSFP XDR 800Gb/s / 2x400GbE (C8180L Partner Cooled)    ConnectX-8 SuperNIC, up to 800 Gb/s total network bandwidth: PCIe Gen6, Spectrum-X Ethernet, AI compute fabrics</t>
        </is>
      </c>
      <c r="Q89">
        <f>IF(AND(Search!$B$2&lt;&gt;"",ISNUMBER(SEARCH(Search!$B$2,P89))),MAX(Q$1:Q88)+1,"")</f>
        <v/>
      </c>
    </row>
    <row r="90">
      <c r="A90" t="inlineStr">
        <is>
          <t>SuperNIC</t>
        </is>
      </c>
      <c r="B90" t="inlineStr">
        <is>
          <t>BlueField-3 SuperNIC</t>
        </is>
      </c>
      <c r="D90" t="inlineStr">
        <is>
          <t>—</t>
        </is>
      </c>
      <c r="E90" t="inlineStr">
        <is>
          <t>documented</t>
        </is>
      </c>
      <c r="F90" t="inlineStr">
        <is>
          <t>—</t>
        </is>
      </c>
      <c r="G90" t="inlineStr">
        <is>
          <t>900-9D3B4-00CC-EA0, 900-9D3B4-00CV-EA0, 900-9D3B4-00EN-EA0, 900-9D3B4-00PN-EA0, 900-9D3B4-00SC-EA0, 900-9D3B4-00SV-EA0, 900-9D3D4-00EN-HA0, 900-9D3D4-00NN-HA0</t>
        </is>
      </c>
      <c r="H90" t="inlineStr">
        <is>
          <t>up to 400 Gb/s</t>
        </is>
      </c>
      <c r="J90" t="inlineStr">
        <is>
          <t>QSFP112 up to 400 Gb/s; QSFP56 up to 400 Gb/s; QSFP28 up to 400 Gb/s</t>
        </is>
      </c>
      <c r="N90" t="inlineStr">
        <is>
          <t>BlueField-3 SuperNIC, up to 400 Gb/s: Spectrum-X Ethernet, secure cloud multi-tenancy, deterministic isolated performance</t>
        </is>
      </c>
      <c r="O90" s="6" t="inlineStr">
        <is>
          <t>https://networking-docs.nvidia.com/bf3dpu</t>
        </is>
      </c>
      <c r="P90" t="inlineStr">
        <is>
          <t>SuperNIC BlueField-3 SuperNIC  — documented — 900-9D3B4-00CC-EA0, 900-9D3B4-00CV-EA0, 900-9D3B4-00EN-EA0, 900-9D3B4-00PN-EA0, 900-9D3B4-00SC-EA0, 900-9D3B4-00SV-EA0, 900-9D3D4-00EN-HA0, 900-9D3D4-00NN-HA0 up to 400 Gb/s  QSFP112 up to 400 Gb/s; QSFP56 up to 400 Gb/s; QSFP28 up to 400 Gb/s    BlueField-3 SuperNIC, up to 400 Gb/s: Spectrum-X Ethernet, secure cloud multi-tenancy, deterministic isolated performance</t>
        </is>
      </c>
      <c r="Q90">
        <f>IF(AND(Search!$B$2&lt;&gt;"",ISNUMBER(SEARCH(Search!$B$2,P90))),MAX(Q$1:Q89)+1,"")</f>
        <v/>
      </c>
    </row>
    <row r="91">
      <c r="A91" t="inlineStr">
        <is>
          <t>Network adapters</t>
        </is>
      </c>
      <c r="B91" t="inlineStr">
        <is>
          <t>C9180</t>
        </is>
      </c>
      <c r="D91" t="inlineStr">
        <is>
          <t>ConnectX-9</t>
        </is>
      </c>
      <c r="E91" t="inlineStr">
        <is>
          <t>MP</t>
        </is>
      </c>
      <c r="F91" t="inlineStr">
        <is>
          <t>—</t>
        </is>
      </c>
      <c r="G91" t="inlineStr">
        <is>
          <t>900-9X91E-00EB-ST0, 900-9X91E-00EB-DT0, 900-9X91E-00QB-ST0</t>
        </is>
      </c>
      <c r="H91" t="inlineStr">
        <is>
          <t>800GbE / XDR 800Gb/s</t>
        </is>
      </c>
      <c r="I91" t="inlineStr">
        <is>
          <t>single-cage OSFP</t>
        </is>
      </c>
      <c r="J91" t="inlineStr">
        <is>
          <t>1x OSFP 800GbE / XDR 800Gb/s (C9180)</t>
        </is>
      </c>
      <c r="O91" s="6" t="inlineStr">
        <is>
          <t>https://networking-docs.nvidia.com/connectx9hw</t>
        </is>
      </c>
      <c r="P91" t="inlineStr">
        <is>
          <t xml:space="preserve">Network adapters C9180  ConnectX-9 MP — 900-9X91E-00EB-ST0, 900-9X91E-00EB-DT0, 900-9X91E-00QB-ST0 800GbE / XDR 800Gb/s single-cage OSFP 1x OSFP 800GbE / XDR 800Gb/s (C9180)    </t>
        </is>
      </c>
      <c r="Q91">
        <f>IF(AND(Search!$B$2&lt;&gt;"",ISNUMBER(SEARCH(Search!$B$2,P91))),MAX(Q$1:Q90)+1,"")</f>
        <v/>
      </c>
    </row>
    <row r="92">
      <c r="A92" t="inlineStr">
        <is>
          <t>Network adapters</t>
        </is>
      </c>
      <c r="B92" t="inlineStr">
        <is>
          <t>C9240</t>
        </is>
      </c>
      <c r="D92" t="inlineStr">
        <is>
          <t>ConnectX-9</t>
        </is>
      </c>
      <c r="E92" t="inlineStr">
        <is>
          <t>MP</t>
        </is>
      </c>
      <c r="F92" t="inlineStr">
        <is>
          <t>—</t>
        </is>
      </c>
      <c r="G92" t="inlineStr">
        <is>
          <t>900-9X91Q-00CN-ST0, 900-9X91Q-00RN-ST0</t>
        </is>
      </c>
      <c r="H92" t="inlineStr">
        <is>
          <t>2x400GbE / 400Gb/s IB</t>
        </is>
      </c>
      <c r="I92" t="inlineStr">
        <is>
          <t>dual QSFP112</t>
        </is>
      </c>
      <c r="J92" t="inlineStr">
        <is>
          <t>2x QSFP112 2x400GbE / 400Gb/s IB (C9240)</t>
        </is>
      </c>
      <c r="O92" s="6" t="inlineStr">
        <is>
          <t>https://networking-docs.nvidia.com/connectx9hw</t>
        </is>
      </c>
      <c r="P92" t="inlineStr">
        <is>
          <t xml:space="preserve">Network adapters C9240  ConnectX-9 MP — 900-9X91Q-00CN-ST0, 900-9X91Q-00RN-ST0 2x400GbE / 400Gb/s IB dual QSFP112 2x QSFP112 2x400GbE / 400Gb/s IB (C9240)    </t>
        </is>
      </c>
      <c r="Q92">
        <f>IF(AND(Search!$B$2&lt;&gt;"",ISNUMBER(SEARCH(Search!$B$2,P92))),MAX(Q$1:Q91)+1,"")</f>
        <v/>
      </c>
    </row>
    <row r="93">
      <c r="A93" t="inlineStr">
        <is>
          <t>Network adapters</t>
        </is>
      </c>
      <c r="B93" t="inlineStr">
        <is>
          <t>C8180</t>
        </is>
      </c>
      <c r="D93" t="inlineStr">
        <is>
          <t>ConnectX-8</t>
        </is>
      </c>
      <c r="E93" t="inlineStr">
        <is>
          <t>MP</t>
        </is>
      </c>
      <c r="F93" t="inlineStr">
        <is>
          <t>—</t>
        </is>
      </c>
      <c r="G93" t="inlineStr">
        <is>
          <t>900-9X81E-00EX-ST0, 900-9X81E-00EX-DT0</t>
        </is>
      </c>
      <c r="H93" t="inlineStr">
        <is>
          <t>XDR 800Gb/s / 2x400GbE</t>
        </is>
      </c>
      <c r="I93" t="inlineStr">
        <is>
          <t>single-cage OSFP</t>
        </is>
      </c>
      <c r="J93" t="inlineStr">
        <is>
          <t>1x OSFP XDR 800Gb/s / 2x400GbE (C8180)</t>
        </is>
      </c>
      <c r="O93" s="6" t="inlineStr">
        <is>
          <t>https://networking-docs.nvidia.com/connectx8hw</t>
        </is>
      </c>
      <c r="P93" t="inlineStr">
        <is>
          <t xml:space="preserve">Network adapters C8180  ConnectX-8 MP — 900-9X81E-00EX-ST0, 900-9X81E-00EX-DT0 XDR 800Gb/s / 2x400GbE single-cage OSFP 1x OSFP XDR 800Gb/s / 2x400GbE (C8180)    </t>
        </is>
      </c>
      <c r="Q93">
        <f>IF(AND(Search!$B$2&lt;&gt;"",ISNUMBER(SEARCH(Search!$B$2,P93))),MAX(Q$1:Q92)+1,"")</f>
        <v/>
      </c>
    </row>
    <row r="94">
      <c r="A94" t="inlineStr">
        <is>
          <t>Network adapters</t>
        </is>
      </c>
      <c r="B94" t="inlineStr">
        <is>
          <t>C8240</t>
        </is>
      </c>
      <c r="D94" t="inlineStr">
        <is>
          <t>ConnectX-8</t>
        </is>
      </c>
      <c r="E94" t="inlineStr">
        <is>
          <t>active</t>
        </is>
      </c>
      <c r="F94" t="inlineStr">
        <is>
          <t>—</t>
        </is>
      </c>
      <c r="G94" t="inlineStr">
        <is>
          <t>900-9X81Q-00CN-ST0</t>
        </is>
      </c>
      <c r="H94" t="inlineStr">
        <is>
          <t>400GbE / 400Gb/s IB</t>
        </is>
      </c>
      <c r="I94" t="inlineStr">
        <is>
          <t>dual QSFP112</t>
        </is>
      </c>
      <c r="J94" t="inlineStr">
        <is>
          <t>2x QSFP112 400GbE / 400Gb/s IB (C8240)</t>
        </is>
      </c>
      <c r="O94" s="6" t="inlineStr">
        <is>
          <t>https://networking-docs.nvidia.com/connectx8hw</t>
        </is>
      </c>
      <c r="P94" t="inlineStr">
        <is>
          <t xml:space="preserve">Network adapters C8240  ConnectX-8 active — 900-9X81Q-00CN-ST0 400GbE / 400Gb/s IB dual QSFP112 2x QSFP112 400GbE / 400Gb/s IB (C8240)    </t>
        </is>
      </c>
      <c r="Q94">
        <f>IF(AND(Search!$B$2&lt;&gt;"",ISNUMBER(SEARCH(Search!$B$2,P94))),MAX(Q$1:Q93)+1,"")</f>
        <v/>
      </c>
    </row>
    <row r="95">
      <c r="A95" t="inlineStr">
        <is>
          <t>Network adapters</t>
        </is>
      </c>
      <c r="B95" t="inlineStr">
        <is>
          <t>C8220</t>
        </is>
      </c>
      <c r="D95" t="inlineStr">
        <is>
          <t>ConnectX-8</t>
        </is>
      </c>
      <c r="E95" t="inlineStr">
        <is>
          <t>prototype</t>
        </is>
      </c>
      <c r="F95" t="inlineStr">
        <is>
          <t>—</t>
        </is>
      </c>
      <c r="G95" t="inlineStr">
        <is>
          <t>900-9X81Q-00CV-ST0</t>
        </is>
      </c>
      <c r="H95" t="inlineStr">
        <is>
          <t>up to 400Gb/s aggregate</t>
        </is>
      </c>
      <c r="I95" t="inlineStr">
        <is>
          <t>dual QSFP112</t>
        </is>
      </c>
      <c r="J95" t="inlineStr">
        <is>
          <t>2x QSFP112 up to 400Gb/s aggregate (C8220)</t>
        </is>
      </c>
      <c r="O95" s="6" t="inlineStr">
        <is>
          <t>https://networking-docs.nvidia.com/connectx8hw</t>
        </is>
      </c>
      <c r="P95" t="inlineStr">
        <is>
          <t xml:space="preserve">Network adapters C8220  ConnectX-8 prototype — 900-9X81Q-00CV-ST0 up to 400Gb/s aggregate dual QSFP112 2x QSFP112 up to 400Gb/s aggregate (C8220)    </t>
        </is>
      </c>
      <c r="Q95">
        <f>IF(AND(Search!$B$2&lt;&gt;"",ISNUMBER(SEARCH(Search!$B$2,P95))),MAX(Q$1:Q94)+1,"")</f>
        <v/>
      </c>
    </row>
    <row r="96">
      <c r="A96" t="inlineStr">
        <is>
          <t>Network adapters</t>
        </is>
      </c>
      <c r="B96" t="inlineStr">
        <is>
          <t>ConnectX-7</t>
        </is>
      </c>
      <c r="D96" t="inlineStr">
        <is>
          <t>ConnectX-7</t>
        </is>
      </c>
      <c r="E96" t="inlineStr">
        <is>
          <t>documented</t>
        </is>
      </c>
      <c r="F96" t="inlineStr">
        <is>
          <t>MCX713104AC-ADAT, MCX713104AS-ADAT, MCX713105AS-WEAT, MCX713106AC-CEAT, MCX713106AC-VEAT, MCX713106AS-CEAT, MCX713106AS-VEAT, MCX713114GC-GEAT, MCX713114TC-GEAT, MCX715105AS-WEAT, MCX75310AAC-NEAT, MCX75310AAS-HEAT, MCX75310AAS-NEAT, MCX755106AC-HEAT, MCX755106AS-HEAT, MCX75510AAS-HEAT, MCX75510AAS-NEAT</t>
        </is>
      </c>
      <c r="G96" t="inlineStr">
        <is>
          <t>900-9X721-003N-DT0, 900-9X721-003N-DT1, 900-9X766-003N-SQ0, 900-9X766-003N-SR0, 900-9X766-003N-ST0, 900-9X7AH-0039-ST1, 900-9X7AH-0039-STZ, 900-9X7AH-004N-CT0, 900-9X7AH-004N-GT0, 900-9X7AH-0076-ST0, 900-9X7AH-0078-DTZ, 900-9X7AH-0078-ST0, 900-9X7AH-0079-DTZ, 900-9X7AH-0086-SQ0, 900-9X7AH-0088-ST0, 900-9X7AO-0003-ST0, 900-9X7AO-00C3-STZ</t>
        </is>
      </c>
      <c r="H96" t="inlineStr">
        <is>
          <t>up to 400Gb/s IB/Ethernet</t>
        </is>
      </c>
      <c r="I96" t="inlineStr">
        <is>
          <t>OSFP / QSFP112 by SKU</t>
        </is>
      </c>
      <c r="J96" t="inlineStr">
        <is>
          <t>OSFP up to 400Gb/s IB/Ethernet (ConnectX-7); QSFP112 up to 400Gb/s IB/Ethernet (ConnectX-7)</t>
        </is>
      </c>
      <c r="O96" s="6" t="inlineStr">
        <is>
          <t>https://networking-docs.nvidia.com/connectx7hw</t>
        </is>
      </c>
      <c r="P96" t="inlineStr">
        <is>
          <t xml:space="preserve">Network adapters ConnectX-7  ConnectX-7 documented MCX713104AC-ADAT, MCX713104AS-ADAT, MCX713105AS-WEAT, MCX713106AC-CEAT, MCX713106AC-VEAT, MCX713106AS-CEAT, MCX713106AS-VEAT, MCX713114GC-GEAT, MCX713114TC-GEAT, MCX715105AS-WEAT, MCX75310AAC-NEAT, MCX75310AAS-HEAT, MCX75310AAS-NEAT, MCX755106AC-HEAT, MCX755106AS-HEAT, MCX75510AAS-HEAT, MCX75510AAS-NEAT 900-9X721-003N-DT0, 900-9X721-003N-DT1, 900-9X766-003N-SQ0, 900-9X766-003N-SR0, 900-9X766-003N-ST0, 900-9X7AH-0039-ST1, 900-9X7AH-0039-STZ, 900-9X7AH-004N-CT0, 900-9X7AH-004N-GT0, 900-9X7AH-0076-ST0, 900-9X7AH-0078-DTZ, 900-9X7AH-0078-ST0, 900-9X7AH-0079-DTZ, 900-9X7AH-0086-SQ0, 900-9X7AH-0088-ST0, 900-9X7AO-0003-ST0, 900-9X7AO-00C3-STZ up to 400Gb/s IB/Ethernet OSFP / QSFP112 by SKU OSFP up to 400Gb/s IB/Ethernet (ConnectX-7); QSFP112 up to 400Gb/s IB/Ethernet (ConnectX-7)    </t>
        </is>
      </c>
      <c r="Q96">
        <f>IF(AND(Search!$B$2&lt;&gt;"",ISNUMBER(SEARCH(Search!$B$2,P96))),MAX(Q$1:Q95)+1,"")</f>
        <v/>
      </c>
    </row>
    <row r="97">
      <c r="A97" t="inlineStr">
        <is>
          <t>Network adapters</t>
        </is>
      </c>
      <c r="B97" t="inlineStr">
        <is>
          <t>ConnectX-6</t>
        </is>
      </c>
      <c r="D97" t="inlineStr">
        <is>
          <t>ConnectX-6</t>
        </is>
      </c>
      <c r="E97" t="inlineStr">
        <is>
          <t>documented</t>
        </is>
      </c>
      <c r="F97" t="inlineStr">
        <is>
          <t>—</t>
        </is>
      </c>
      <c r="G97" t="inlineStr">
        <is>
          <t>—</t>
        </is>
      </c>
      <c r="H97" t="inlineStr">
        <is>
          <t>up to 200Gb/s IB/Ethernet</t>
        </is>
      </c>
      <c r="I97" t="inlineStr">
        <is>
          <t>QSFP56 / QSFP28 by SKU</t>
        </is>
      </c>
      <c r="J97" t="inlineStr">
        <is>
          <t>QSFP56 up to 200Gb/s IB/Ethernet (ConnectX-6); QSFP28 up to 200Gb/s IB/Ethernet (ConnectX-6)</t>
        </is>
      </c>
      <c r="O97" s="6" t="inlineStr">
        <is>
          <t>https://networking-docs.nvidia.com/adapters</t>
        </is>
      </c>
      <c r="P97" t="inlineStr">
        <is>
          <t xml:space="preserve">Network adapters ConnectX-6  ConnectX-6 documented — — up to 200Gb/s IB/Ethernet QSFP56 / QSFP28 by SKU QSFP56 up to 200Gb/s IB/Ethernet (ConnectX-6); QSFP28 up to 200Gb/s IB/Ethernet (ConnectX-6)    </t>
        </is>
      </c>
      <c r="Q97">
        <f>IF(AND(Search!$B$2&lt;&gt;"",ISNUMBER(SEARCH(Search!$B$2,P97))),MAX(Q$1:Q96)+1,"")</f>
        <v/>
      </c>
    </row>
    <row r="98">
      <c r="A98" t="inlineStr">
        <is>
          <t>Network adapters</t>
        </is>
      </c>
      <c r="B98" t="inlineStr">
        <is>
          <t>ConnectX-6 Dx</t>
        </is>
      </c>
      <c r="D98" t="inlineStr">
        <is>
          <t>ConnectX-6 Dx</t>
        </is>
      </c>
      <c r="E98" t="inlineStr">
        <is>
          <t>documented</t>
        </is>
      </c>
      <c r="F98" t="inlineStr">
        <is>
          <t>—</t>
        </is>
      </c>
      <c r="G98" t="inlineStr">
        <is>
          <t>—</t>
        </is>
      </c>
      <c r="H98" t="inlineStr">
        <is>
          <t>up to 200GbE</t>
        </is>
      </c>
      <c r="I98" t="inlineStr">
        <is>
          <t>QSFP56 / QSFP28 / SFP56 by SKU</t>
        </is>
      </c>
      <c r="J98" t="inlineStr">
        <is>
          <t>QSFP56 up to 200GbE (ConnectX-6 Dx); QSFP28 up to 200GbE (ConnectX-6 Dx); SFP56 up to 200GbE (ConnectX-6 Dx)</t>
        </is>
      </c>
      <c r="O98" s="6" t="inlineStr">
        <is>
          <t>https://networking-docs.nvidia.com/adapters</t>
        </is>
      </c>
      <c r="P98" t="inlineStr">
        <is>
          <t xml:space="preserve">Network adapters ConnectX-6 Dx  ConnectX-6 Dx documented — — up to 200GbE QSFP56 / QSFP28 / SFP56 by SKU QSFP56 up to 200GbE (ConnectX-6 Dx); QSFP28 up to 200GbE (ConnectX-6 Dx); SFP56 up to 200GbE (ConnectX-6 Dx)    </t>
        </is>
      </c>
      <c r="Q98">
        <f>IF(AND(Search!$B$2&lt;&gt;"",ISNUMBER(SEARCH(Search!$B$2,P98))),MAX(Q$1:Q97)+1,"")</f>
        <v/>
      </c>
    </row>
    <row r="99">
      <c r="A99" t="inlineStr">
        <is>
          <t>Network adapters</t>
        </is>
      </c>
      <c r="B99" t="inlineStr">
        <is>
          <t>ConnectX-6 Lx</t>
        </is>
      </c>
      <c r="D99" t="inlineStr">
        <is>
          <t>ConnectX-6 Lx</t>
        </is>
      </c>
      <c r="E99" t="inlineStr">
        <is>
          <t>documented</t>
        </is>
      </c>
      <c r="F99" t="inlineStr">
        <is>
          <t>—</t>
        </is>
      </c>
      <c r="G99" t="inlineStr">
        <is>
          <t>—</t>
        </is>
      </c>
      <c r="H99" t="inlineStr">
        <is>
          <t>up to 50GbE</t>
        </is>
      </c>
      <c r="I99" t="inlineStr">
        <is>
          <t>SFP56 / SFP28 by SKU</t>
        </is>
      </c>
      <c r="J99" t="inlineStr">
        <is>
          <t>SFP56 up to 50GbE (ConnectX-6 Lx); SFP28 up to 50GbE (ConnectX-6 Lx)</t>
        </is>
      </c>
      <c r="O99" s="6" t="inlineStr">
        <is>
          <t>https://networking-docs.nvidia.com/adapters</t>
        </is>
      </c>
      <c r="P99" t="inlineStr">
        <is>
          <t xml:space="preserve">Network adapters ConnectX-6 Lx  ConnectX-6 Lx documented — — up to 50GbE SFP56 / SFP28 by SKU SFP56 up to 50GbE (ConnectX-6 Lx); SFP28 up to 50GbE (ConnectX-6 Lx)    </t>
        </is>
      </c>
      <c r="Q99">
        <f>IF(AND(Search!$B$2&lt;&gt;"",ISNUMBER(SEARCH(Search!$B$2,P99))),MAX(Q$1:Q98)+1,"")</f>
        <v/>
      </c>
    </row>
    <row r="100">
      <c r="A100" t="inlineStr">
        <is>
          <t>UFM appliances</t>
        </is>
      </c>
      <c r="B100" t="inlineStr">
        <is>
          <t>UFM XDR Appliance</t>
        </is>
      </c>
      <c r="D100" t="inlineStr">
        <is>
          <t>UFM Enterprise Gen 3.5</t>
        </is>
      </c>
      <c r="E100" t="inlineStr">
        <is>
          <t>documented</t>
        </is>
      </c>
      <c r="F100" t="inlineStr">
        <is>
          <t>—</t>
        </is>
      </c>
      <c r="G100" t="inlineStr">
        <is>
          <t>—</t>
        </is>
      </c>
      <c r="J100" t="inlineStr">
        <is>
          <t>XDR InfiniBand</t>
        </is>
      </c>
      <c r="N100" t="inlineStr">
        <is>
          <t>UFM Enterprise Gen 3.5 UFM appliance, XDR InfiniBand</t>
        </is>
      </c>
      <c r="O100" s="6" t="inlineStr">
        <is>
          <t>https://networking-docs.nvidia.com/software/management-software/ufm-appliances</t>
        </is>
      </c>
      <c r="P100" t="inlineStr">
        <is>
          <t>UFM appliances UFM XDR Appliance  UFM Enterprise Gen 3.5 documented — —   XDR InfiniBand    UFM Enterprise Gen 3.5 UFM appliance, XDR InfiniBand</t>
        </is>
      </c>
      <c r="Q100">
        <f>IF(AND(Search!$B$2&lt;&gt;"",ISNUMBER(SEARCH(Search!$B$2,P100))),MAX(Q$1:Q99)+1,"")</f>
        <v/>
      </c>
    </row>
    <row r="101">
      <c r="A101" t="inlineStr">
        <is>
          <t>UFM appliances</t>
        </is>
      </c>
      <c r="B101" t="inlineStr">
        <is>
          <t>MUA970D</t>
        </is>
      </c>
      <c r="D101" t="inlineStr">
        <is>
          <t>UFM XDR-DC Gen 3.5</t>
        </is>
      </c>
      <c r="E101" t="inlineStr">
        <is>
          <t>active</t>
        </is>
      </c>
      <c r="F101" t="inlineStr">
        <is>
          <t>MUA9702H-2SFS-DC</t>
        </is>
      </c>
      <c r="G101" t="inlineStr">
        <is>
          <t>920-9B020-10RI-0D0</t>
        </is>
      </c>
      <c r="J101" t="inlineStr">
        <is>
          <t>ConnectX-8 400Gb/s InfiniBand</t>
        </is>
      </c>
      <c r="N101" t="inlineStr">
        <is>
          <t>UFM XDR-DC Gen 3.5 UFM appliance, ConnectX-8 400Gb/s InfiniBand</t>
        </is>
      </c>
      <c r="O101" s="6" t="inlineStr">
        <is>
          <t>https://networking-docs.nvidia.com/ufmenterprisexdrdchw/</t>
        </is>
      </c>
      <c r="P101" t="inlineStr">
        <is>
          <t>UFM appliances MUA970D  UFM XDR-DC Gen 3.5 active MUA9702H-2SFS-DC 920-9B020-10RI-0D0   ConnectX-8 400Gb/s InfiniBand    UFM XDR-DC Gen 3.5 UFM appliance, ConnectX-8 400Gb/s InfiniBand</t>
        </is>
      </c>
      <c r="Q101">
        <f>IF(AND(Search!$B$2&lt;&gt;"",ISNUMBER(SEARCH(Search!$B$2,P101))),MAX(Q$1:Q100)+1,"")</f>
        <v/>
      </c>
    </row>
    <row r="102">
      <c r="A102" t="inlineStr">
        <is>
          <t>UFM appliances</t>
        </is>
      </c>
      <c r="B102" t="inlineStr">
        <is>
          <t>MUA9652H-2SF</t>
        </is>
      </c>
      <c r="D102" t="inlineStr">
        <is>
          <t>UFM Cyber-AI 4.0</t>
        </is>
      </c>
      <c r="E102" t="inlineStr">
        <is>
          <t>documented</t>
        </is>
      </c>
      <c r="F102" t="inlineStr">
        <is>
          <t>MUA9652H-2SF</t>
        </is>
      </c>
      <c r="G102" t="inlineStr">
        <is>
          <t>920-9B020-00FH-0D0</t>
        </is>
      </c>
      <c r="J102" t="inlineStr">
        <is>
          <t>2x ConnectX-6 HDR 200Gb/s InfiniBand</t>
        </is>
      </c>
      <c r="N102" t="inlineStr">
        <is>
          <t>UFM Cyber-AI 4.0 UFM appliance, 2x ConnectX-6 HDR 200Gb/s InfiniBand</t>
        </is>
      </c>
      <c r="O102" s="6" t="inlineStr">
        <is>
          <t>https://networking-docs.nvidia.com/ufm40cyberaiapphw</t>
        </is>
      </c>
      <c r="P102" t="inlineStr">
        <is>
          <t>UFM appliances MUA9652H-2SF  UFM Cyber-AI 4.0 documented MUA9652H-2SF 920-9B020-00FH-0D0   2x ConnectX-6 HDR 200Gb/s InfiniBand    UFM Cyber-AI 4.0 UFM appliance, 2x ConnectX-6 HDR 200Gb/s InfiniBand</t>
        </is>
      </c>
      <c r="Q102">
        <f>IF(AND(Search!$B$2&lt;&gt;"",ISNUMBER(SEARCH(Search!$B$2,P102))),MAX(Q$1:Q101)+1,"")</f>
        <v/>
      </c>
    </row>
    <row r="103">
      <c r="A103" t="inlineStr">
        <is>
          <t>UFM appliances</t>
        </is>
      </c>
      <c r="B103" t="inlineStr">
        <is>
          <t>MUA960</t>
        </is>
      </c>
      <c r="D103" t="inlineStr">
        <is>
          <t>UFM Enterprise Gen 3.0 HDR</t>
        </is>
      </c>
      <c r="E103" t="inlineStr">
        <is>
          <t>documented</t>
        </is>
      </c>
      <c r="F103" t="inlineStr">
        <is>
          <t>MUA9602H-2SR</t>
        </is>
      </c>
      <c r="G103" t="inlineStr">
        <is>
          <t>920-9B020-00FA-0D3</t>
        </is>
      </c>
      <c r="J103" t="inlineStr">
        <is>
          <t>HDR InfiniBand</t>
        </is>
      </c>
      <c r="N103" t="inlineStr">
        <is>
          <t>UFM Enterprise Gen 3.0 HDR UFM appliance, HDR InfiniBand</t>
        </is>
      </c>
      <c r="O103" s="6" t="inlineStr">
        <is>
          <t>https://networking-docs.nvidia.com/ufmenterprisehdrhwum</t>
        </is>
      </c>
      <c r="P103" t="inlineStr">
        <is>
          <t>UFM appliances MUA960  UFM Enterprise Gen 3.0 HDR documented MUA9602H-2SR 920-9B020-00FA-0D3   HDR InfiniBand    UFM Enterprise Gen 3.0 HDR UFM appliance, HDR InfiniBand</t>
        </is>
      </c>
      <c r="Q103">
        <f>IF(AND(Search!$B$2&lt;&gt;"",ISNUMBER(SEARCH(Search!$B$2,P103))),MAX(Q$1:Q102)+1,"")</f>
        <v/>
      </c>
    </row>
    <row r="104">
      <c r="A104" t="inlineStr">
        <is>
          <t>UFM appliances</t>
        </is>
      </c>
      <c r="B104" t="inlineStr">
        <is>
          <t>MUA960B</t>
        </is>
      </c>
      <c r="D104" t="inlineStr">
        <is>
          <t>UFM Enterprise Gen 3.0 NDR</t>
        </is>
      </c>
      <c r="E104" t="inlineStr">
        <is>
          <t>documented</t>
        </is>
      </c>
      <c r="F104" t="inlineStr">
        <is>
          <t>MUA9602H-2SRS</t>
        </is>
      </c>
      <c r="G104" t="inlineStr">
        <is>
          <t>920-9B020-00RA-0D0</t>
        </is>
      </c>
      <c r="J104" t="inlineStr">
        <is>
          <t>NDR InfiniBand</t>
        </is>
      </c>
      <c r="N104" t="inlineStr">
        <is>
          <t>UFM Enterprise Gen 3.0 NDR UFM appliance, NDR InfiniBand</t>
        </is>
      </c>
      <c r="O104" s="6" t="inlineStr">
        <is>
          <t>https://networking-docs.nvidia.com/ufmenterprisendrhwum</t>
        </is>
      </c>
      <c r="P104" t="inlineStr">
        <is>
          <t>UFM appliances MUA960B  UFM Enterprise Gen 3.0 NDR documented MUA9602H-2SRS 920-9B020-00RA-0D0   NDR InfiniBand    UFM Enterprise Gen 3.0 NDR UFM appliance, NDR InfiniBand</t>
        </is>
      </c>
      <c r="Q104">
        <f>IF(AND(Search!$B$2&lt;&gt;"",ISNUMBER(SEARCH(Search!$B$2,P104))),MAX(Q$1:Q103)+1,"")</f>
        <v/>
      </c>
    </row>
    <row r="105">
      <c r="A105" t="inlineStr">
        <is>
          <t>UFM appliances</t>
        </is>
      </c>
      <c r="B105" t="inlineStr">
        <is>
          <t>MUA950</t>
        </is>
      </c>
      <c r="D105" t="inlineStr">
        <is>
          <t>UFM-SDN 2.5</t>
        </is>
      </c>
      <c r="E105" t="inlineStr">
        <is>
          <t>documented</t>
        </is>
      </c>
      <c r="F105" t="inlineStr">
        <is>
          <t>MUA9502H-2SF / MUA9502H-2SF-40K</t>
        </is>
      </c>
      <c r="G105" t="inlineStr">
        <is>
          <t>920-9B020-00FA-0D5, 920-9B020-09FA-0D0</t>
        </is>
      </c>
      <c r="J105" t="inlineStr">
        <is>
          <t>InfiniBand</t>
        </is>
      </c>
      <c r="N105" t="inlineStr">
        <is>
          <t>UFM-SDN 2.5 UFM appliance, InfiniBand</t>
        </is>
      </c>
      <c r="O105" s="6" t="inlineStr">
        <is>
          <t>https://networking-docs.nvidia.com/ufmsdn25apphw</t>
        </is>
      </c>
      <c r="P105" t="inlineStr">
        <is>
          <t>UFM appliances MUA950  UFM-SDN 2.5 documented MUA9502H-2SF / MUA9502H-2SF-40K 920-9B020-00FA-0D5, 920-9B020-09FA-0D0   InfiniBand    UFM-SDN 2.5 UFM appliance, InfiniBand</t>
        </is>
      </c>
      <c r="Q105">
        <f>IF(AND(Search!$B$2&lt;&gt;"",ISNUMBER(SEARCH(Search!$B$2,P105))),MAX(Q$1:Q104)+1,"")</f>
        <v/>
      </c>
    </row>
    <row r="106">
      <c r="A106" t="inlineStr">
        <is>
          <t>UFM appliances</t>
        </is>
      </c>
      <c r="B106" t="inlineStr">
        <is>
          <t>MUA975</t>
        </is>
      </c>
      <c r="D106" t="inlineStr">
        <is>
          <t>UFM Cyber-AI Gen 4.5</t>
        </is>
      </c>
      <c r="E106" t="inlineStr">
        <is>
          <t>documented</t>
        </is>
      </c>
      <c r="F106" t="inlineStr">
        <is>
          <t>MUA9752H-2SFS-AC</t>
        </is>
      </c>
      <c r="G106" t="inlineStr">
        <is>
          <t>920-9B020-00RI-0D5</t>
        </is>
      </c>
      <c r="J106" t="inlineStr">
        <is>
          <t>2x ConnectX-8 single-port 400Gb/s InfiniBand</t>
        </is>
      </c>
      <c r="N106" t="inlineStr">
        <is>
          <t>UFM Cyber-AI Gen 4.5 UFM appliance, 2x ConnectX-8 single-port 400Gb/s InfiniBand</t>
        </is>
      </c>
      <c r="O106" s="6" t="inlineStr">
        <is>
          <t>https://networking-docs.nvidia.com/ufm45cyberaiapphw</t>
        </is>
      </c>
      <c r="P106" t="inlineStr">
        <is>
          <t>UFM appliances MUA975  UFM Cyber-AI Gen 4.5 documented MUA9752H-2SFS-AC 920-9B020-00RI-0D5   2x ConnectX-8 single-port 400Gb/s InfiniBand    UFM Cyber-AI Gen 4.5 UFM appliance, 2x ConnectX-8 single-port 400Gb/s InfiniBand</t>
        </is>
      </c>
      <c r="Q106">
        <f>IF(AND(Search!$B$2&lt;&gt;"",ISNUMBER(SEARCH(Search!$B$2,P106))),MAX(Q$1:Q105)+1,"")</f>
        <v/>
      </c>
    </row>
    <row r="107">
      <c r="A107" t="inlineStr">
        <is>
          <t>Legacy network adapters</t>
        </is>
      </c>
      <c r="B107" t="inlineStr">
        <is>
          <t>MCX516A-CCAT</t>
        </is>
      </c>
      <c r="D107" t="inlineStr">
        <is>
          <t>ConnectX-5</t>
        </is>
      </c>
      <c r="E107" t="inlineStr">
        <is>
          <t>legacy</t>
        </is>
      </c>
      <c r="H107" t="inlineStr">
        <is>
          <t>up to 100GbE per port / EDR InfiniBand</t>
        </is>
      </c>
      <c r="I107" t="inlineStr">
        <is>
          <t>dual QSFP28</t>
        </is>
      </c>
      <c r="O107" s="6" t="inlineStr">
        <is>
          <t>https://networking-docs.nvidia.com/connectx5en</t>
        </is>
      </c>
      <c r="P107" t="inlineStr">
        <is>
          <t xml:space="preserve">Legacy network adapters MCX516A-CCAT  ConnectX-5 legacy   up to 100GbE per port / EDR InfiniBand dual QSFP28     </t>
        </is>
      </c>
      <c r="Q107">
        <f>IF(AND(Search!$B$2&lt;&gt;"",ISNUMBER(SEARCH(Search!$B$2,P107))),MAX(Q$1:Q106)+1,"")</f>
        <v/>
      </c>
    </row>
    <row r="108">
      <c r="A108" t="inlineStr">
        <is>
          <t>Legacy network adapters</t>
        </is>
      </c>
      <c r="B108" t="inlineStr">
        <is>
          <t>MCX455A-ECAT</t>
        </is>
      </c>
      <c r="D108" t="inlineStr">
        <is>
          <t>ConnectX-4</t>
        </is>
      </c>
      <c r="E108" t="inlineStr">
        <is>
          <t>legacy</t>
        </is>
      </c>
      <c r="H108" t="inlineStr">
        <is>
          <t>100GbE / EDR InfiniBand class</t>
        </is>
      </c>
      <c r="I108" t="inlineStr">
        <is>
          <t>QSFP28</t>
        </is>
      </c>
      <c r="O108" s="6" t="inlineStr">
        <is>
          <t>https://networking-docs.nvidia.com/connectx4</t>
        </is>
      </c>
      <c r="P108" t="inlineStr">
        <is>
          <t xml:space="preserve">Legacy network adapters MCX455A-ECAT  ConnectX-4 legacy   100GbE / EDR InfiniBand class QSFP28     </t>
        </is>
      </c>
      <c r="Q108">
        <f>IF(AND(Search!$B$2&lt;&gt;"",ISNUMBER(SEARCH(Search!$B$2,P108))),MAX(Q$1:Q107)+1,"")</f>
        <v/>
      </c>
    </row>
    <row r="109">
      <c r="A109" t="inlineStr">
        <is>
          <t>Legacy network adapters</t>
        </is>
      </c>
      <c r="B109" t="inlineStr">
        <is>
          <t>MCX4121A-ACAT</t>
        </is>
      </c>
      <c r="D109" t="inlineStr">
        <is>
          <t>ConnectX-4 Lx</t>
        </is>
      </c>
      <c r="E109" t="inlineStr">
        <is>
          <t>legacy</t>
        </is>
      </c>
      <c r="H109" t="inlineStr">
        <is>
          <t>up to 25GbE per port</t>
        </is>
      </c>
      <c r="I109" t="inlineStr">
        <is>
          <t>dual SFP28</t>
        </is>
      </c>
      <c r="O109" s="6" t="inlineStr">
        <is>
          <t>https://networking-docs.nvidia.com/connectx4lx</t>
        </is>
      </c>
      <c r="P109" t="inlineStr">
        <is>
          <t xml:space="preserve">Legacy network adapters MCX4121A-ACAT  ConnectX-4 Lx legacy   up to 25GbE per port dual SFP28     </t>
        </is>
      </c>
      <c r="Q109">
        <f>IF(AND(Search!$B$2&lt;&gt;"",ISNUMBER(SEARCH(Search!$B$2,P109))),MAX(Q$1:Q108)+1,"")</f>
        <v/>
      </c>
    </row>
  </sheetData>
  <autoFilter ref="A1:O10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5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5" customWidth="1" min="3" max="3"/>
    <col width="36" customWidth="1" min="4" max="4"/>
    <col width="13" customWidth="1" min="5" max="5"/>
    <col width="55" customWidth="1" min="6" max="6"/>
    <col width="55" customWidth="1" min="7" max="7"/>
    <col width="40" customWidth="1" min="8" max="8"/>
    <col width="32" customWidth="1" min="9" max="9"/>
    <col width="55" customWidth="1" min="10" max="10"/>
    <col width="10" customWidth="1" min="11" max="11"/>
    <col width="41" customWidth="1" min="12" max="12"/>
    <col width="12" customWidth="1" min="13" max="13"/>
    <col width="55" customWidth="1" min="14" max="14"/>
    <col width="55" customWidth="1" min="15" max="15"/>
  </cols>
  <sheetData>
    <row r="1">
      <c r="A1" s="1" t="inlineStr">
        <is>
          <t>Search products</t>
        </is>
      </c>
    </row>
    <row r="2">
      <c r="A2" s="2" t="inlineStr">
        <is>
          <t>Search text:</t>
        </is>
      </c>
      <c r="B2" s="3" t="n"/>
      <c r="C2" t="inlineStr">
        <is>
          <t>Type a model, OPN, speed, connector, fabric (IB/ETH/NVL) or any word; matching is case-insensitive.</t>
        </is>
      </c>
    </row>
    <row r="3">
      <c r="A3" s="2" t="inlineStr">
        <is>
          <t>Matches:</t>
        </is>
      </c>
      <c r="B3">
        <f>MAX('All products'!$Q:$Q)</f>
        <v/>
      </c>
      <c r="C3">
        <f>IF(B3&gt;200,"Showing first 200 matches only","")</f>
        <v/>
      </c>
    </row>
    <row r="5">
      <c r="A5" s="4" t="inlineStr">
        <is>
          <t>Section</t>
        </is>
      </c>
      <c r="B5" s="4" t="inlineStr">
        <is>
          <t>Model</t>
        </is>
      </c>
      <c r="C5" s="4" t="inlineStr">
        <is>
          <t>Variant</t>
        </is>
      </c>
      <c r="D5" s="4" t="inlineStr">
        <is>
          <t>Family</t>
        </is>
      </c>
      <c r="E5" s="4" t="inlineStr">
        <is>
          <t>Status</t>
        </is>
      </c>
      <c r="F5" s="4" t="inlineStr">
        <is>
          <t>Legacy OPN</t>
        </is>
      </c>
      <c r="G5" s="4" t="inlineStr">
        <is>
          <t>NVIDIA OPN</t>
        </is>
      </c>
      <c r="H5" s="4" t="inlineStr">
        <is>
          <t>Speed</t>
        </is>
      </c>
      <c r="I5" s="4" t="inlineStr">
        <is>
          <t>Form factor</t>
        </is>
      </c>
      <c r="J5" s="4" t="inlineStr">
        <is>
          <t>Interfaces</t>
        </is>
      </c>
      <c r="K5" s="4" t="inlineStr">
        <is>
          <t>Medium</t>
        </is>
      </c>
      <c r="L5" s="4" t="inlineStr">
        <is>
          <t>Reach</t>
        </is>
      </c>
      <c r="M5" s="4" t="inlineStr">
        <is>
          <t>Fabric</t>
        </is>
      </c>
      <c r="N5" s="4" t="inlineStr">
        <is>
          <t>Description</t>
        </is>
      </c>
      <c r="O5" s="4" t="inlineStr">
        <is>
          <t>Link</t>
        </is>
      </c>
    </row>
    <row r="6">
      <c r="A6">
        <f>IFERROR(INDEX('All products'!$A$2:$A$109,MATCH(1,'All products'!$Q$2:$Q$109,0))&amp;"","")</f>
        <v/>
      </c>
      <c r="B6">
        <f>IFERROR(INDEX('All products'!$B$2:$B$109,MATCH(1,'All products'!$Q$2:$Q$109,0))&amp;"","")</f>
        <v/>
      </c>
      <c r="C6">
        <f>IFERROR(INDEX('All products'!$C$2:$C$109,MATCH(1,'All products'!$Q$2:$Q$109,0))&amp;"","")</f>
        <v/>
      </c>
      <c r="D6">
        <f>IFERROR(INDEX('All products'!$D$2:$D$109,MATCH(1,'All products'!$Q$2:$Q$109,0))&amp;"","")</f>
        <v/>
      </c>
      <c r="E6">
        <f>IFERROR(INDEX('All products'!$E$2:$E$109,MATCH(1,'All products'!$Q$2:$Q$109,0))&amp;"","")</f>
        <v/>
      </c>
      <c r="F6">
        <f>IFERROR(INDEX('All products'!$F$2:$F$109,MATCH(1,'All products'!$Q$2:$Q$109,0))&amp;"","")</f>
        <v/>
      </c>
      <c r="G6">
        <f>IFERROR(INDEX('All products'!$G$2:$G$109,MATCH(1,'All products'!$Q$2:$Q$109,0))&amp;"","")</f>
        <v/>
      </c>
      <c r="H6">
        <f>IFERROR(INDEX('All products'!$H$2:$H$109,MATCH(1,'All products'!$Q$2:$Q$109,0))&amp;"","")</f>
        <v/>
      </c>
      <c r="I6">
        <f>IFERROR(INDEX('All products'!$I$2:$I$109,MATCH(1,'All products'!$Q$2:$Q$109,0))&amp;"","")</f>
        <v/>
      </c>
      <c r="J6">
        <f>IFERROR(INDEX('All products'!$J$2:$J$109,MATCH(1,'All products'!$Q$2:$Q$109,0))&amp;"","")</f>
        <v/>
      </c>
      <c r="K6">
        <f>IFERROR(INDEX('All products'!$K$2:$K$109,MATCH(1,'All products'!$Q$2:$Q$109,0))&amp;"","")</f>
        <v/>
      </c>
      <c r="L6">
        <f>IFERROR(INDEX('All products'!$L$2:$L$109,MATCH(1,'All products'!$Q$2:$Q$109,0))&amp;"","")</f>
        <v/>
      </c>
      <c r="M6">
        <f>IFERROR(INDEX('All products'!$M$2:$M$109,MATCH(1,'All products'!$Q$2:$Q$109,0))&amp;"","")</f>
        <v/>
      </c>
      <c r="N6">
        <f>IFERROR(INDEX('All products'!$N$2:$N$109,MATCH(1,'All products'!$Q$2:$Q$109,0))&amp;"","")</f>
        <v/>
      </c>
      <c r="O6">
        <f>IFERROR(HYPERLINK(INDEX('All products'!$O$2:$O$109,MATCH(1,'All products'!$Q$2:$Q$109,0))),"")</f>
        <v/>
      </c>
    </row>
    <row r="7">
      <c r="A7">
        <f>IFERROR(INDEX('All products'!$A$2:$A$109,MATCH(2,'All products'!$Q$2:$Q$109,0))&amp;"","")</f>
        <v/>
      </c>
      <c r="B7">
        <f>IFERROR(INDEX('All products'!$B$2:$B$109,MATCH(2,'All products'!$Q$2:$Q$109,0))&amp;"","")</f>
        <v/>
      </c>
      <c r="C7">
        <f>IFERROR(INDEX('All products'!$C$2:$C$109,MATCH(2,'All products'!$Q$2:$Q$109,0))&amp;"","")</f>
        <v/>
      </c>
      <c r="D7">
        <f>IFERROR(INDEX('All products'!$D$2:$D$109,MATCH(2,'All products'!$Q$2:$Q$109,0))&amp;"","")</f>
        <v/>
      </c>
      <c r="E7">
        <f>IFERROR(INDEX('All products'!$E$2:$E$109,MATCH(2,'All products'!$Q$2:$Q$109,0))&amp;"","")</f>
        <v/>
      </c>
      <c r="F7">
        <f>IFERROR(INDEX('All products'!$F$2:$F$109,MATCH(2,'All products'!$Q$2:$Q$109,0))&amp;"","")</f>
        <v/>
      </c>
      <c r="G7">
        <f>IFERROR(INDEX('All products'!$G$2:$G$109,MATCH(2,'All products'!$Q$2:$Q$109,0))&amp;"","")</f>
        <v/>
      </c>
      <c r="H7">
        <f>IFERROR(INDEX('All products'!$H$2:$H$109,MATCH(2,'All products'!$Q$2:$Q$109,0))&amp;"","")</f>
        <v/>
      </c>
      <c r="I7">
        <f>IFERROR(INDEX('All products'!$I$2:$I$109,MATCH(2,'All products'!$Q$2:$Q$109,0))&amp;"","")</f>
        <v/>
      </c>
      <c r="J7">
        <f>IFERROR(INDEX('All products'!$J$2:$J$109,MATCH(2,'All products'!$Q$2:$Q$109,0))&amp;"","")</f>
        <v/>
      </c>
      <c r="K7">
        <f>IFERROR(INDEX('All products'!$K$2:$K$109,MATCH(2,'All products'!$Q$2:$Q$109,0))&amp;"","")</f>
        <v/>
      </c>
      <c r="L7">
        <f>IFERROR(INDEX('All products'!$L$2:$L$109,MATCH(2,'All products'!$Q$2:$Q$109,0))&amp;"","")</f>
        <v/>
      </c>
      <c r="M7">
        <f>IFERROR(INDEX('All products'!$M$2:$M$109,MATCH(2,'All products'!$Q$2:$Q$109,0))&amp;"","")</f>
        <v/>
      </c>
      <c r="N7">
        <f>IFERROR(INDEX('All products'!$N$2:$N$109,MATCH(2,'All products'!$Q$2:$Q$109,0))&amp;"","")</f>
        <v/>
      </c>
      <c r="O7">
        <f>IFERROR(HYPERLINK(INDEX('All products'!$O$2:$O$109,MATCH(2,'All products'!$Q$2:$Q$109,0))),"")</f>
        <v/>
      </c>
    </row>
    <row r="8">
      <c r="A8">
        <f>IFERROR(INDEX('All products'!$A$2:$A$109,MATCH(3,'All products'!$Q$2:$Q$109,0))&amp;"","")</f>
        <v/>
      </c>
      <c r="B8">
        <f>IFERROR(INDEX('All products'!$B$2:$B$109,MATCH(3,'All products'!$Q$2:$Q$109,0))&amp;"","")</f>
        <v/>
      </c>
      <c r="C8">
        <f>IFERROR(INDEX('All products'!$C$2:$C$109,MATCH(3,'All products'!$Q$2:$Q$109,0))&amp;"","")</f>
        <v/>
      </c>
      <c r="D8">
        <f>IFERROR(INDEX('All products'!$D$2:$D$109,MATCH(3,'All products'!$Q$2:$Q$109,0))&amp;"","")</f>
        <v/>
      </c>
      <c r="E8">
        <f>IFERROR(INDEX('All products'!$E$2:$E$109,MATCH(3,'All products'!$Q$2:$Q$109,0))&amp;"","")</f>
        <v/>
      </c>
      <c r="F8">
        <f>IFERROR(INDEX('All products'!$F$2:$F$109,MATCH(3,'All products'!$Q$2:$Q$109,0))&amp;"","")</f>
        <v/>
      </c>
      <c r="G8">
        <f>IFERROR(INDEX('All products'!$G$2:$G$109,MATCH(3,'All products'!$Q$2:$Q$109,0))&amp;"","")</f>
        <v/>
      </c>
      <c r="H8">
        <f>IFERROR(INDEX('All products'!$H$2:$H$109,MATCH(3,'All products'!$Q$2:$Q$109,0))&amp;"","")</f>
        <v/>
      </c>
      <c r="I8">
        <f>IFERROR(INDEX('All products'!$I$2:$I$109,MATCH(3,'All products'!$Q$2:$Q$109,0))&amp;"","")</f>
        <v/>
      </c>
      <c r="J8">
        <f>IFERROR(INDEX('All products'!$J$2:$J$109,MATCH(3,'All products'!$Q$2:$Q$109,0))&amp;"","")</f>
        <v/>
      </c>
      <c r="K8">
        <f>IFERROR(INDEX('All products'!$K$2:$K$109,MATCH(3,'All products'!$Q$2:$Q$109,0))&amp;"","")</f>
        <v/>
      </c>
      <c r="L8">
        <f>IFERROR(INDEX('All products'!$L$2:$L$109,MATCH(3,'All products'!$Q$2:$Q$109,0))&amp;"","")</f>
        <v/>
      </c>
      <c r="M8">
        <f>IFERROR(INDEX('All products'!$M$2:$M$109,MATCH(3,'All products'!$Q$2:$Q$109,0))&amp;"","")</f>
        <v/>
      </c>
      <c r="N8">
        <f>IFERROR(INDEX('All products'!$N$2:$N$109,MATCH(3,'All products'!$Q$2:$Q$109,0))&amp;"","")</f>
        <v/>
      </c>
      <c r="O8">
        <f>IFERROR(HYPERLINK(INDEX('All products'!$O$2:$O$109,MATCH(3,'All products'!$Q$2:$Q$109,0))),"")</f>
        <v/>
      </c>
    </row>
    <row r="9">
      <c r="A9">
        <f>IFERROR(INDEX('All products'!$A$2:$A$109,MATCH(4,'All products'!$Q$2:$Q$109,0))&amp;"","")</f>
        <v/>
      </c>
      <c r="B9">
        <f>IFERROR(INDEX('All products'!$B$2:$B$109,MATCH(4,'All products'!$Q$2:$Q$109,0))&amp;"","")</f>
        <v/>
      </c>
      <c r="C9">
        <f>IFERROR(INDEX('All products'!$C$2:$C$109,MATCH(4,'All products'!$Q$2:$Q$109,0))&amp;"","")</f>
        <v/>
      </c>
      <c r="D9">
        <f>IFERROR(INDEX('All products'!$D$2:$D$109,MATCH(4,'All products'!$Q$2:$Q$109,0))&amp;"","")</f>
        <v/>
      </c>
      <c r="E9">
        <f>IFERROR(INDEX('All products'!$E$2:$E$109,MATCH(4,'All products'!$Q$2:$Q$109,0))&amp;"","")</f>
        <v/>
      </c>
      <c r="F9">
        <f>IFERROR(INDEX('All products'!$F$2:$F$109,MATCH(4,'All products'!$Q$2:$Q$109,0))&amp;"","")</f>
        <v/>
      </c>
      <c r="G9">
        <f>IFERROR(INDEX('All products'!$G$2:$G$109,MATCH(4,'All products'!$Q$2:$Q$109,0))&amp;"","")</f>
        <v/>
      </c>
      <c r="H9">
        <f>IFERROR(INDEX('All products'!$H$2:$H$109,MATCH(4,'All products'!$Q$2:$Q$109,0))&amp;"","")</f>
        <v/>
      </c>
      <c r="I9">
        <f>IFERROR(INDEX('All products'!$I$2:$I$109,MATCH(4,'All products'!$Q$2:$Q$109,0))&amp;"","")</f>
        <v/>
      </c>
      <c r="J9">
        <f>IFERROR(INDEX('All products'!$J$2:$J$109,MATCH(4,'All products'!$Q$2:$Q$109,0))&amp;"","")</f>
        <v/>
      </c>
      <c r="K9">
        <f>IFERROR(INDEX('All products'!$K$2:$K$109,MATCH(4,'All products'!$Q$2:$Q$109,0))&amp;"","")</f>
        <v/>
      </c>
      <c r="L9">
        <f>IFERROR(INDEX('All products'!$L$2:$L$109,MATCH(4,'All products'!$Q$2:$Q$109,0))&amp;"","")</f>
        <v/>
      </c>
      <c r="M9">
        <f>IFERROR(INDEX('All products'!$M$2:$M$109,MATCH(4,'All products'!$Q$2:$Q$109,0))&amp;"","")</f>
        <v/>
      </c>
      <c r="N9">
        <f>IFERROR(INDEX('All products'!$N$2:$N$109,MATCH(4,'All products'!$Q$2:$Q$109,0))&amp;"","")</f>
        <v/>
      </c>
      <c r="O9">
        <f>IFERROR(HYPERLINK(INDEX('All products'!$O$2:$O$109,MATCH(4,'All products'!$Q$2:$Q$109,0))),"")</f>
        <v/>
      </c>
    </row>
    <row r="10">
      <c r="A10">
        <f>IFERROR(INDEX('All products'!$A$2:$A$109,MATCH(5,'All products'!$Q$2:$Q$109,0))&amp;"","")</f>
        <v/>
      </c>
      <c r="B10">
        <f>IFERROR(INDEX('All products'!$B$2:$B$109,MATCH(5,'All products'!$Q$2:$Q$109,0))&amp;"","")</f>
        <v/>
      </c>
      <c r="C10">
        <f>IFERROR(INDEX('All products'!$C$2:$C$109,MATCH(5,'All products'!$Q$2:$Q$109,0))&amp;"","")</f>
        <v/>
      </c>
      <c r="D10">
        <f>IFERROR(INDEX('All products'!$D$2:$D$109,MATCH(5,'All products'!$Q$2:$Q$109,0))&amp;"","")</f>
        <v/>
      </c>
      <c r="E10">
        <f>IFERROR(INDEX('All products'!$E$2:$E$109,MATCH(5,'All products'!$Q$2:$Q$109,0))&amp;"","")</f>
        <v/>
      </c>
      <c r="F10">
        <f>IFERROR(INDEX('All products'!$F$2:$F$109,MATCH(5,'All products'!$Q$2:$Q$109,0))&amp;"","")</f>
        <v/>
      </c>
      <c r="G10">
        <f>IFERROR(INDEX('All products'!$G$2:$G$109,MATCH(5,'All products'!$Q$2:$Q$109,0))&amp;"","")</f>
        <v/>
      </c>
      <c r="H10">
        <f>IFERROR(INDEX('All products'!$H$2:$H$109,MATCH(5,'All products'!$Q$2:$Q$109,0))&amp;"","")</f>
        <v/>
      </c>
      <c r="I10">
        <f>IFERROR(INDEX('All products'!$I$2:$I$109,MATCH(5,'All products'!$Q$2:$Q$109,0))&amp;"","")</f>
        <v/>
      </c>
      <c r="J10">
        <f>IFERROR(INDEX('All products'!$J$2:$J$109,MATCH(5,'All products'!$Q$2:$Q$109,0))&amp;"","")</f>
        <v/>
      </c>
      <c r="K10">
        <f>IFERROR(INDEX('All products'!$K$2:$K$109,MATCH(5,'All products'!$Q$2:$Q$109,0))&amp;"","")</f>
        <v/>
      </c>
      <c r="L10">
        <f>IFERROR(INDEX('All products'!$L$2:$L$109,MATCH(5,'All products'!$Q$2:$Q$109,0))&amp;"","")</f>
        <v/>
      </c>
      <c r="M10">
        <f>IFERROR(INDEX('All products'!$M$2:$M$109,MATCH(5,'All products'!$Q$2:$Q$109,0))&amp;"","")</f>
        <v/>
      </c>
      <c r="N10">
        <f>IFERROR(INDEX('All products'!$N$2:$N$109,MATCH(5,'All products'!$Q$2:$Q$109,0))&amp;"","")</f>
        <v/>
      </c>
      <c r="O10">
        <f>IFERROR(HYPERLINK(INDEX('All products'!$O$2:$O$109,MATCH(5,'All products'!$Q$2:$Q$109,0))),"")</f>
        <v/>
      </c>
    </row>
    <row r="11">
      <c r="A11">
        <f>IFERROR(INDEX('All products'!$A$2:$A$109,MATCH(6,'All products'!$Q$2:$Q$109,0))&amp;"","")</f>
        <v/>
      </c>
      <c r="B11">
        <f>IFERROR(INDEX('All products'!$B$2:$B$109,MATCH(6,'All products'!$Q$2:$Q$109,0))&amp;"","")</f>
        <v/>
      </c>
      <c r="C11">
        <f>IFERROR(INDEX('All products'!$C$2:$C$109,MATCH(6,'All products'!$Q$2:$Q$109,0))&amp;"","")</f>
        <v/>
      </c>
      <c r="D11">
        <f>IFERROR(INDEX('All products'!$D$2:$D$109,MATCH(6,'All products'!$Q$2:$Q$109,0))&amp;"","")</f>
        <v/>
      </c>
      <c r="E11">
        <f>IFERROR(INDEX('All products'!$E$2:$E$109,MATCH(6,'All products'!$Q$2:$Q$109,0))&amp;"","")</f>
        <v/>
      </c>
      <c r="F11">
        <f>IFERROR(INDEX('All products'!$F$2:$F$109,MATCH(6,'All products'!$Q$2:$Q$109,0))&amp;"","")</f>
        <v/>
      </c>
      <c r="G11">
        <f>IFERROR(INDEX('All products'!$G$2:$G$109,MATCH(6,'All products'!$Q$2:$Q$109,0))&amp;"","")</f>
        <v/>
      </c>
      <c r="H11">
        <f>IFERROR(INDEX('All products'!$H$2:$H$109,MATCH(6,'All products'!$Q$2:$Q$109,0))&amp;"","")</f>
        <v/>
      </c>
      <c r="I11">
        <f>IFERROR(INDEX('All products'!$I$2:$I$109,MATCH(6,'All products'!$Q$2:$Q$109,0))&amp;"","")</f>
        <v/>
      </c>
      <c r="J11">
        <f>IFERROR(INDEX('All products'!$J$2:$J$109,MATCH(6,'All products'!$Q$2:$Q$109,0))&amp;"","")</f>
        <v/>
      </c>
      <c r="K11">
        <f>IFERROR(INDEX('All products'!$K$2:$K$109,MATCH(6,'All products'!$Q$2:$Q$109,0))&amp;"","")</f>
        <v/>
      </c>
      <c r="L11">
        <f>IFERROR(INDEX('All products'!$L$2:$L$109,MATCH(6,'All products'!$Q$2:$Q$109,0))&amp;"","")</f>
        <v/>
      </c>
      <c r="M11">
        <f>IFERROR(INDEX('All products'!$M$2:$M$109,MATCH(6,'All products'!$Q$2:$Q$109,0))&amp;"","")</f>
        <v/>
      </c>
      <c r="N11">
        <f>IFERROR(INDEX('All products'!$N$2:$N$109,MATCH(6,'All products'!$Q$2:$Q$109,0))&amp;"","")</f>
        <v/>
      </c>
      <c r="O11">
        <f>IFERROR(HYPERLINK(INDEX('All products'!$O$2:$O$109,MATCH(6,'All products'!$Q$2:$Q$109,0))),"")</f>
        <v/>
      </c>
    </row>
    <row r="12">
      <c r="A12">
        <f>IFERROR(INDEX('All products'!$A$2:$A$109,MATCH(7,'All products'!$Q$2:$Q$109,0))&amp;"","")</f>
        <v/>
      </c>
      <c r="B12">
        <f>IFERROR(INDEX('All products'!$B$2:$B$109,MATCH(7,'All products'!$Q$2:$Q$109,0))&amp;"","")</f>
        <v/>
      </c>
      <c r="C12">
        <f>IFERROR(INDEX('All products'!$C$2:$C$109,MATCH(7,'All products'!$Q$2:$Q$109,0))&amp;"","")</f>
        <v/>
      </c>
      <c r="D12">
        <f>IFERROR(INDEX('All products'!$D$2:$D$109,MATCH(7,'All products'!$Q$2:$Q$109,0))&amp;"","")</f>
        <v/>
      </c>
      <c r="E12">
        <f>IFERROR(INDEX('All products'!$E$2:$E$109,MATCH(7,'All products'!$Q$2:$Q$109,0))&amp;"","")</f>
        <v/>
      </c>
      <c r="F12">
        <f>IFERROR(INDEX('All products'!$F$2:$F$109,MATCH(7,'All products'!$Q$2:$Q$109,0))&amp;"","")</f>
        <v/>
      </c>
      <c r="G12">
        <f>IFERROR(INDEX('All products'!$G$2:$G$109,MATCH(7,'All products'!$Q$2:$Q$109,0))&amp;"","")</f>
        <v/>
      </c>
      <c r="H12">
        <f>IFERROR(INDEX('All products'!$H$2:$H$109,MATCH(7,'All products'!$Q$2:$Q$109,0))&amp;"","")</f>
        <v/>
      </c>
      <c r="I12">
        <f>IFERROR(INDEX('All products'!$I$2:$I$109,MATCH(7,'All products'!$Q$2:$Q$109,0))&amp;"","")</f>
        <v/>
      </c>
      <c r="J12">
        <f>IFERROR(INDEX('All products'!$J$2:$J$109,MATCH(7,'All products'!$Q$2:$Q$109,0))&amp;"","")</f>
        <v/>
      </c>
      <c r="K12">
        <f>IFERROR(INDEX('All products'!$K$2:$K$109,MATCH(7,'All products'!$Q$2:$Q$109,0))&amp;"","")</f>
        <v/>
      </c>
      <c r="L12">
        <f>IFERROR(INDEX('All products'!$L$2:$L$109,MATCH(7,'All products'!$Q$2:$Q$109,0))&amp;"","")</f>
        <v/>
      </c>
      <c r="M12">
        <f>IFERROR(INDEX('All products'!$M$2:$M$109,MATCH(7,'All products'!$Q$2:$Q$109,0))&amp;"","")</f>
        <v/>
      </c>
      <c r="N12">
        <f>IFERROR(INDEX('All products'!$N$2:$N$109,MATCH(7,'All products'!$Q$2:$Q$109,0))&amp;"","")</f>
        <v/>
      </c>
      <c r="O12">
        <f>IFERROR(HYPERLINK(INDEX('All products'!$O$2:$O$109,MATCH(7,'All products'!$Q$2:$Q$109,0))),"")</f>
        <v/>
      </c>
    </row>
    <row r="13">
      <c r="A13">
        <f>IFERROR(INDEX('All products'!$A$2:$A$109,MATCH(8,'All products'!$Q$2:$Q$109,0))&amp;"","")</f>
        <v/>
      </c>
      <c r="B13">
        <f>IFERROR(INDEX('All products'!$B$2:$B$109,MATCH(8,'All products'!$Q$2:$Q$109,0))&amp;"","")</f>
        <v/>
      </c>
      <c r="C13">
        <f>IFERROR(INDEX('All products'!$C$2:$C$109,MATCH(8,'All products'!$Q$2:$Q$109,0))&amp;"","")</f>
        <v/>
      </c>
      <c r="D13">
        <f>IFERROR(INDEX('All products'!$D$2:$D$109,MATCH(8,'All products'!$Q$2:$Q$109,0))&amp;"","")</f>
        <v/>
      </c>
      <c r="E13">
        <f>IFERROR(INDEX('All products'!$E$2:$E$109,MATCH(8,'All products'!$Q$2:$Q$109,0))&amp;"","")</f>
        <v/>
      </c>
      <c r="F13">
        <f>IFERROR(INDEX('All products'!$F$2:$F$109,MATCH(8,'All products'!$Q$2:$Q$109,0))&amp;"","")</f>
        <v/>
      </c>
      <c r="G13">
        <f>IFERROR(INDEX('All products'!$G$2:$G$109,MATCH(8,'All products'!$Q$2:$Q$109,0))&amp;"","")</f>
        <v/>
      </c>
      <c r="H13">
        <f>IFERROR(INDEX('All products'!$H$2:$H$109,MATCH(8,'All products'!$Q$2:$Q$109,0))&amp;"","")</f>
        <v/>
      </c>
      <c r="I13">
        <f>IFERROR(INDEX('All products'!$I$2:$I$109,MATCH(8,'All products'!$Q$2:$Q$109,0))&amp;"","")</f>
        <v/>
      </c>
      <c r="J13">
        <f>IFERROR(INDEX('All products'!$J$2:$J$109,MATCH(8,'All products'!$Q$2:$Q$109,0))&amp;"","")</f>
        <v/>
      </c>
      <c r="K13">
        <f>IFERROR(INDEX('All products'!$K$2:$K$109,MATCH(8,'All products'!$Q$2:$Q$109,0))&amp;"","")</f>
        <v/>
      </c>
      <c r="L13">
        <f>IFERROR(INDEX('All products'!$L$2:$L$109,MATCH(8,'All products'!$Q$2:$Q$109,0))&amp;"","")</f>
        <v/>
      </c>
      <c r="M13">
        <f>IFERROR(INDEX('All products'!$M$2:$M$109,MATCH(8,'All products'!$Q$2:$Q$109,0))&amp;"","")</f>
        <v/>
      </c>
      <c r="N13">
        <f>IFERROR(INDEX('All products'!$N$2:$N$109,MATCH(8,'All products'!$Q$2:$Q$109,0))&amp;"","")</f>
        <v/>
      </c>
      <c r="O13">
        <f>IFERROR(HYPERLINK(INDEX('All products'!$O$2:$O$109,MATCH(8,'All products'!$Q$2:$Q$109,0))),"")</f>
        <v/>
      </c>
    </row>
    <row r="14">
      <c r="A14">
        <f>IFERROR(INDEX('All products'!$A$2:$A$109,MATCH(9,'All products'!$Q$2:$Q$109,0))&amp;"","")</f>
        <v/>
      </c>
      <c r="B14">
        <f>IFERROR(INDEX('All products'!$B$2:$B$109,MATCH(9,'All products'!$Q$2:$Q$109,0))&amp;"","")</f>
        <v/>
      </c>
      <c r="C14">
        <f>IFERROR(INDEX('All products'!$C$2:$C$109,MATCH(9,'All products'!$Q$2:$Q$109,0))&amp;"","")</f>
        <v/>
      </c>
      <c r="D14">
        <f>IFERROR(INDEX('All products'!$D$2:$D$109,MATCH(9,'All products'!$Q$2:$Q$109,0))&amp;"","")</f>
        <v/>
      </c>
      <c r="E14">
        <f>IFERROR(INDEX('All products'!$E$2:$E$109,MATCH(9,'All products'!$Q$2:$Q$109,0))&amp;"","")</f>
        <v/>
      </c>
      <c r="F14">
        <f>IFERROR(INDEX('All products'!$F$2:$F$109,MATCH(9,'All products'!$Q$2:$Q$109,0))&amp;"","")</f>
        <v/>
      </c>
      <c r="G14">
        <f>IFERROR(INDEX('All products'!$G$2:$G$109,MATCH(9,'All products'!$Q$2:$Q$109,0))&amp;"","")</f>
        <v/>
      </c>
      <c r="H14">
        <f>IFERROR(INDEX('All products'!$H$2:$H$109,MATCH(9,'All products'!$Q$2:$Q$109,0))&amp;"","")</f>
        <v/>
      </c>
      <c r="I14">
        <f>IFERROR(INDEX('All products'!$I$2:$I$109,MATCH(9,'All products'!$Q$2:$Q$109,0))&amp;"","")</f>
        <v/>
      </c>
      <c r="J14">
        <f>IFERROR(INDEX('All products'!$J$2:$J$109,MATCH(9,'All products'!$Q$2:$Q$109,0))&amp;"","")</f>
        <v/>
      </c>
      <c r="K14">
        <f>IFERROR(INDEX('All products'!$K$2:$K$109,MATCH(9,'All products'!$Q$2:$Q$109,0))&amp;"","")</f>
        <v/>
      </c>
      <c r="L14">
        <f>IFERROR(INDEX('All products'!$L$2:$L$109,MATCH(9,'All products'!$Q$2:$Q$109,0))&amp;"","")</f>
        <v/>
      </c>
      <c r="M14">
        <f>IFERROR(INDEX('All products'!$M$2:$M$109,MATCH(9,'All products'!$Q$2:$Q$109,0))&amp;"","")</f>
        <v/>
      </c>
      <c r="N14">
        <f>IFERROR(INDEX('All products'!$N$2:$N$109,MATCH(9,'All products'!$Q$2:$Q$109,0))&amp;"","")</f>
        <v/>
      </c>
      <c r="O14">
        <f>IFERROR(HYPERLINK(INDEX('All products'!$O$2:$O$109,MATCH(9,'All products'!$Q$2:$Q$109,0))),"")</f>
        <v/>
      </c>
    </row>
    <row r="15">
      <c r="A15">
        <f>IFERROR(INDEX('All products'!$A$2:$A$109,MATCH(10,'All products'!$Q$2:$Q$109,0))&amp;"","")</f>
        <v/>
      </c>
      <c r="B15">
        <f>IFERROR(INDEX('All products'!$B$2:$B$109,MATCH(10,'All products'!$Q$2:$Q$109,0))&amp;"","")</f>
        <v/>
      </c>
      <c r="C15">
        <f>IFERROR(INDEX('All products'!$C$2:$C$109,MATCH(10,'All products'!$Q$2:$Q$109,0))&amp;"","")</f>
        <v/>
      </c>
      <c r="D15">
        <f>IFERROR(INDEX('All products'!$D$2:$D$109,MATCH(10,'All products'!$Q$2:$Q$109,0))&amp;"","")</f>
        <v/>
      </c>
      <c r="E15">
        <f>IFERROR(INDEX('All products'!$E$2:$E$109,MATCH(10,'All products'!$Q$2:$Q$109,0))&amp;"","")</f>
        <v/>
      </c>
      <c r="F15">
        <f>IFERROR(INDEX('All products'!$F$2:$F$109,MATCH(10,'All products'!$Q$2:$Q$109,0))&amp;"","")</f>
        <v/>
      </c>
      <c r="G15">
        <f>IFERROR(INDEX('All products'!$G$2:$G$109,MATCH(10,'All products'!$Q$2:$Q$109,0))&amp;"","")</f>
        <v/>
      </c>
      <c r="H15">
        <f>IFERROR(INDEX('All products'!$H$2:$H$109,MATCH(10,'All products'!$Q$2:$Q$109,0))&amp;"","")</f>
        <v/>
      </c>
      <c r="I15">
        <f>IFERROR(INDEX('All products'!$I$2:$I$109,MATCH(10,'All products'!$Q$2:$Q$109,0))&amp;"","")</f>
        <v/>
      </c>
      <c r="J15">
        <f>IFERROR(INDEX('All products'!$J$2:$J$109,MATCH(10,'All products'!$Q$2:$Q$109,0))&amp;"","")</f>
        <v/>
      </c>
      <c r="K15">
        <f>IFERROR(INDEX('All products'!$K$2:$K$109,MATCH(10,'All products'!$Q$2:$Q$109,0))&amp;"","")</f>
        <v/>
      </c>
      <c r="L15">
        <f>IFERROR(INDEX('All products'!$L$2:$L$109,MATCH(10,'All products'!$Q$2:$Q$109,0))&amp;"","")</f>
        <v/>
      </c>
      <c r="M15">
        <f>IFERROR(INDEX('All products'!$M$2:$M$109,MATCH(10,'All products'!$Q$2:$Q$109,0))&amp;"","")</f>
        <v/>
      </c>
      <c r="N15">
        <f>IFERROR(INDEX('All products'!$N$2:$N$109,MATCH(10,'All products'!$Q$2:$Q$109,0))&amp;"","")</f>
        <v/>
      </c>
      <c r="O15">
        <f>IFERROR(HYPERLINK(INDEX('All products'!$O$2:$O$109,MATCH(10,'All products'!$Q$2:$Q$109,0))),"")</f>
        <v/>
      </c>
    </row>
    <row r="16">
      <c r="A16">
        <f>IFERROR(INDEX('All products'!$A$2:$A$109,MATCH(11,'All products'!$Q$2:$Q$109,0))&amp;"","")</f>
        <v/>
      </c>
      <c r="B16">
        <f>IFERROR(INDEX('All products'!$B$2:$B$109,MATCH(11,'All products'!$Q$2:$Q$109,0))&amp;"","")</f>
        <v/>
      </c>
      <c r="C16">
        <f>IFERROR(INDEX('All products'!$C$2:$C$109,MATCH(11,'All products'!$Q$2:$Q$109,0))&amp;"","")</f>
        <v/>
      </c>
      <c r="D16">
        <f>IFERROR(INDEX('All products'!$D$2:$D$109,MATCH(11,'All products'!$Q$2:$Q$109,0))&amp;"","")</f>
        <v/>
      </c>
      <c r="E16">
        <f>IFERROR(INDEX('All products'!$E$2:$E$109,MATCH(11,'All products'!$Q$2:$Q$109,0))&amp;"","")</f>
        <v/>
      </c>
      <c r="F16">
        <f>IFERROR(INDEX('All products'!$F$2:$F$109,MATCH(11,'All products'!$Q$2:$Q$109,0))&amp;"","")</f>
        <v/>
      </c>
      <c r="G16">
        <f>IFERROR(INDEX('All products'!$G$2:$G$109,MATCH(11,'All products'!$Q$2:$Q$109,0))&amp;"","")</f>
        <v/>
      </c>
      <c r="H16">
        <f>IFERROR(INDEX('All products'!$H$2:$H$109,MATCH(11,'All products'!$Q$2:$Q$109,0))&amp;"","")</f>
        <v/>
      </c>
      <c r="I16">
        <f>IFERROR(INDEX('All products'!$I$2:$I$109,MATCH(11,'All products'!$Q$2:$Q$109,0))&amp;"","")</f>
        <v/>
      </c>
      <c r="J16">
        <f>IFERROR(INDEX('All products'!$J$2:$J$109,MATCH(11,'All products'!$Q$2:$Q$109,0))&amp;"","")</f>
        <v/>
      </c>
      <c r="K16">
        <f>IFERROR(INDEX('All products'!$K$2:$K$109,MATCH(11,'All products'!$Q$2:$Q$109,0))&amp;"","")</f>
        <v/>
      </c>
      <c r="L16">
        <f>IFERROR(INDEX('All products'!$L$2:$L$109,MATCH(11,'All products'!$Q$2:$Q$109,0))&amp;"","")</f>
        <v/>
      </c>
      <c r="M16">
        <f>IFERROR(INDEX('All products'!$M$2:$M$109,MATCH(11,'All products'!$Q$2:$Q$109,0))&amp;"","")</f>
        <v/>
      </c>
      <c r="N16">
        <f>IFERROR(INDEX('All products'!$N$2:$N$109,MATCH(11,'All products'!$Q$2:$Q$109,0))&amp;"","")</f>
        <v/>
      </c>
      <c r="O16">
        <f>IFERROR(HYPERLINK(INDEX('All products'!$O$2:$O$109,MATCH(11,'All products'!$Q$2:$Q$109,0))),"")</f>
        <v/>
      </c>
    </row>
    <row r="17">
      <c r="A17">
        <f>IFERROR(INDEX('All products'!$A$2:$A$109,MATCH(12,'All products'!$Q$2:$Q$109,0))&amp;"","")</f>
        <v/>
      </c>
      <c r="B17">
        <f>IFERROR(INDEX('All products'!$B$2:$B$109,MATCH(12,'All products'!$Q$2:$Q$109,0))&amp;"","")</f>
        <v/>
      </c>
      <c r="C17">
        <f>IFERROR(INDEX('All products'!$C$2:$C$109,MATCH(12,'All products'!$Q$2:$Q$109,0))&amp;"","")</f>
        <v/>
      </c>
      <c r="D17">
        <f>IFERROR(INDEX('All products'!$D$2:$D$109,MATCH(12,'All products'!$Q$2:$Q$109,0))&amp;"","")</f>
        <v/>
      </c>
      <c r="E17">
        <f>IFERROR(INDEX('All products'!$E$2:$E$109,MATCH(12,'All products'!$Q$2:$Q$109,0))&amp;"","")</f>
        <v/>
      </c>
      <c r="F17">
        <f>IFERROR(INDEX('All products'!$F$2:$F$109,MATCH(12,'All products'!$Q$2:$Q$109,0))&amp;"","")</f>
        <v/>
      </c>
      <c r="G17">
        <f>IFERROR(INDEX('All products'!$G$2:$G$109,MATCH(12,'All products'!$Q$2:$Q$109,0))&amp;"","")</f>
        <v/>
      </c>
      <c r="H17">
        <f>IFERROR(INDEX('All products'!$H$2:$H$109,MATCH(12,'All products'!$Q$2:$Q$109,0))&amp;"","")</f>
        <v/>
      </c>
      <c r="I17">
        <f>IFERROR(INDEX('All products'!$I$2:$I$109,MATCH(12,'All products'!$Q$2:$Q$109,0))&amp;"","")</f>
        <v/>
      </c>
      <c r="J17">
        <f>IFERROR(INDEX('All products'!$J$2:$J$109,MATCH(12,'All products'!$Q$2:$Q$109,0))&amp;"","")</f>
        <v/>
      </c>
      <c r="K17">
        <f>IFERROR(INDEX('All products'!$K$2:$K$109,MATCH(12,'All products'!$Q$2:$Q$109,0))&amp;"","")</f>
        <v/>
      </c>
      <c r="L17">
        <f>IFERROR(INDEX('All products'!$L$2:$L$109,MATCH(12,'All products'!$Q$2:$Q$109,0))&amp;"","")</f>
        <v/>
      </c>
      <c r="M17">
        <f>IFERROR(INDEX('All products'!$M$2:$M$109,MATCH(12,'All products'!$Q$2:$Q$109,0))&amp;"","")</f>
        <v/>
      </c>
      <c r="N17">
        <f>IFERROR(INDEX('All products'!$N$2:$N$109,MATCH(12,'All products'!$Q$2:$Q$109,0))&amp;"","")</f>
        <v/>
      </c>
      <c r="O17">
        <f>IFERROR(HYPERLINK(INDEX('All products'!$O$2:$O$109,MATCH(12,'All products'!$Q$2:$Q$109,0))),"")</f>
        <v/>
      </c>
    </row>
    <row r="18">
      <c r="A18">
        <f>IFERROR(INDEX('All products'!$A$2:$A$109,MATCH(13,'All products'!$Q$2:$Q$109,0))&amp;"","")</f>
        <v/>
      </c>
      <c r="B18">
        <f>IFERROR(INDEX('All products'!$B$2:$B$109,MATCH(13,'All products'!$Q$2:$Q$109,0))&amp;"","")</f>
        <v/>
      </c>
      <c r="C18">
        <f>IFERROR(INDEX('All products'!$C$2:$C$109,MATCH(13,'All products'!$Q$2:$Q$109,0))&amp;"","")</f>
        <v/>
      </c>
      <c r="D18">
        <f>IFERROR(INDEX('All products'!$D$2:$D$109,MATCH(13,'All products'!$Q$2:$Q$109,0))&amp;"","")</f>
        <v/>
      </c>
      <c r="E18">
        <f>IFERROR(INDEX('All products'!$E$2:$E$109,MATCH(13,'All products'!$Q$2:$Q$109,0))&amp;"","")</f>
        <v/>
      </c>
      <c r="F18">
        <f>IFERROR(INDEX('All products'!$F$2:$F$109,MATCH(13,'All products'!$Q$2:$Q$109,0))&amp;"","")</f>
        <v/>
      </c>
      <c r="G18">
        <f>IFERROR(INDEX('All products'!$G$2:$G$109,MATCH(13,'All products'!$Q$2:$Q$109,0))&amp;"","")</f>
        <v/>
      </c>
      <c r="H18">
        <f>IFERROR(INDEX('All products'!$H$2:$H$109,MATCH(13,'All products'!$Q$2:$Q$109,0))&amp;"","")</f>
        <v/>
      </c>
      <c r="I18">
        <f>IFERROR(INDEX('All products'!$I$2:$I$109,MATCH(13,'All products'!$Q$2:$Q$109,0))&amp;"","")</f>
        <v/>
      </c>
      <c r="J18">
        <f>IFERROR(INDEX('All products'!$J$2:$J$109,MATCH(13,'All products'!$Q$2:$Q$109,0))&amp;"","")</f>
        <v/>
      </c>
      <c r="K18">
        <f>IFERROR(INDEX('All products'!$K$2:$K$109,MATCH(13,'All products'!$Q$2:$Q$109,0))&amp;"","")</f>
        <v/>
      </c>
      <c r="L18">
        <f>IFERROR(INDEX('All products'!$L$2:$L$109,MATCH(13,'All products'!$Q$2:$Q$109,0))&amp;"","")</f>
        <v/>
      </c>
      <c r="M18">
        <f>IFERROR(INDEX('All products'!$M$2:$M$109,MATCH(13,'All products'!$Q$2:$Q$109,0))&amp;"","")</f>
        <v/>
      </c>
      <c r="N18">
        <f>IFERROR(INDEX('All products'!$N$2:$N$109,MATCH(13,'All products'!$Q$2:$Q$109,0))&amp;"","")</f>
        <v/>
      </c>
      <c r="O18">
        <f>IFERROR(HYPERLINK(INDEX('All products'!$O$2:$O$109,MATCH(13,'All products'!$Q$2:$Q$109,0))),"")</f>
        <v/>
      </c>
    </row>
    <row r="19">
      <c r="A19">
        <f>IFERROR(INDEX('All products'!$A$2:$A$109,MATCH(14,'All products'!$Q$2:$Q$109,0))&amp;"","")</f>
        <v/>
      </c>
      <c r="B19">
        <f>IFERROR(INDEX('All products'!$B$2:$B$109,MATCH(14,'All products'!$Q$2:$Q$109,0))&amp;"","")</f>
        <v/>
      </c>
      <c r="C19">
        <f>IFERROR(INDEX('All products'!$C$2:$C$109,MATCH(14,'All products'!$Q$2:$Q$109,0))&amp;"","")</f>
        <v/>
      </c>
      <c r="D19">
        <f>IFERROR(INDEX('All products'!$D$2:$D$109,MATCH(14,'All products'!$Q$2:$Q$109,0))&amp;"","")</f>
        <v/>
      </c>
      <c r="E19">
        <f>IFERROR(INDEX('All products'!$E$2:$E$109,MATCH(14,'All products'!$Q$2:$Q$109,0))&amp;"","")</f>
        <v/>
      </c>
      <c r="F19">
        <f>IFERROR(INDEX('All products'!$F$2:$F$109,MATCH(14,'All products'!$Q$2:$Q$109,0))&amp;"","")</f>
        <v/>
      </c>
      <c r="G19">
        <f>IFERROR(INDEX('All products'!$G$2:$G$109,MATCH(14,'All products'!$Q$2:$Q$109,0))&amp;"","")</f>
        <v/>
      </c>
      <c r="H19">
        <f>IFERROR(INDEX('All products'!$H$2:$H$109,MATCH(14,'All products'!$Q$2:$Q$109,0))&amp;"","")</f>
        <v/>
      </c>
      <c r="I19">
        <f>IFERROR(INDEX('All products'!$I$2:$I$109,MATCH(14,'All products'!$Q$2:$Q$109,0))&amp;"","")</f>
        <v/>
      </c>
      <c r="J19">
        <f>IFERROR(INDEX('All products'!$J$2:$J$109,MATCH(14,'All products'!$Q$2:$Q$109,0))&amp;"","")</f>
        <v/>
      </c>
      <c r="K19">
        <f>IFERROR(INDEX('All products'!$K$2:$K$109,MATCH(14,'All products'!$Q$2:$Q$109,0))&amp;"","")</f>
        <v/>
      </c>
      <c r="L19">
        <f>IFERROR(INDEX('All products'!$L$2:$L$109,MATCH(14,'All products'!$Q$2:$Q$109,0))&amp;"","")</f>
        <v/>
      </c>
      <c r="M19">
        <f>IFERROR(INDEX('All products'!$M$2:$M$109,MATCH(14,'All products'!$Q$2:$Q$109,0))&amp;"","")</f>
        <v/>
      </c>
      <c r="N19">
        <f>IFERROR(INDEX('All products'!$N$2:$N$109,MATCH(14,'All products'!$Q$2:$Q$109,0))&amp;"","")</f>
        <v/>
      </c>
      <c r="O19">
        <f>IFERROR(HYPERLINK(INDEX('All products'!$O$2:$O$109,MATCH(14,'All products'!$Q$2:$Q$109,0))),"")</f>
        <v/>
      </c>
    </row>
    <row r="20">
      <c r="A20">
        <f>IFERROR(INDEX('All products'!$A$2:$A$109,MATCH(15,'All products'!$Q$2:$Q$109,0))&amp;"","")</f>
        <v/>
      </c>
      <c r="B20">
        <f>IFERROR(INDEX('All products'!$B$2:$B$109,MATCH(15,'All products'!$Q$2:$Q$109,0))&amp;"","")</f>
        <v/>
      </c>
      <c r="C20">
        <f>IFERROR(INDEX('All products'!$C$2:$C$109,MATCH(15,'All products'!$Q$2:$Q$109,0))&amp;"","")</f>
        <v/>
      </c>
      <c r="D20">
        <f>IFERROR(INDEX('All products'!$D$2:$D$109,MATCH(15,'All products'!$Q$2:$Q$109,0))&amp;"","")</f>
        <v/>
      </c>
      <c r="E20">
        <f>IFERROR(INDEX('All products'!$E$2:$E$109,MATCH(15,'All products'!$Q$2:$Q$109,0))&amp;"","")</f>
        <v/>
      </c>
      <c r="F20">
        <f>IFERROR(INDEX('All products'!$F$2:$F$109,MATCH(15,'All products'!$Q$2:$Q$109,0))&amp;"","")</f>
        <v/>
      </c>
      <c r="G20">
        <f>IFERROR(INDEX('All products'!$G$2:$G$109,MATCH(15,'All products'!$Q$2:$Q$109,0))&amp;"","")</f>
        <v/>
      </c>
      <c r="H20">
        <f>IFERROR(INDEX('All products'!$H$2:$H$109,MATCH(15,'All products'!$Q$2:$Q$109,0))&amp;"","")</f>
        <v/>
      </c>
      <c r="I20">
        <f>IFERROR(INDEX('All products'!$I$2:$I$109,MATCH(15,'All products'!$Q$2:$Q$109,0))&amp;"","")</f>
        <v/>
      </c>
      <c r="J20">
        <f>IFERROR(INDEX('All products'!$J$2:$J$109,MATCH(15,'All products'!$Q$2:$Q$109,0))&amp;"","")</f>
        <v/>
      </c>
      <c r="K20">
        <f>IFERROR(INDEX('All products'!$K$2:$K$109,MATCH(15,'All products'!$Q$2:$Q$109,0))&amp;"","")</f>
        <v/>
      </c>
      <c r="L20">
        <f>IFERROR(INDEX('All products'!$L$2:$L$109,MATCH(15,'All products'!$Q$2:$Q$109,0))&amp;"","")</f>
        <v/>
      </c>
      <c r="M20">
        <f>IFERROR(INDEX('All products'!$M$2:$M$109,MATCH(15,'All products'!$Q$2:$Q$109,0))&amp;"","")</f>
        <v/>
      </c>
      <c r="N20">
        <f>IFERROR(INDEX('All products'!$N$2:$N$109,MATCH(15,'All products'!$Q$2:$Q$109,0))&amp;"","")</f>
        <v/>
      </c>
      <c r="O20">
        <f>IFERROR(HYPERLINK(INDEX('All products'!$O$2:$O$109,MATCH(15,'All products'!$Q$2:$Q$109,0))),"")</f>
        <v/>
      </c>
    </row>
    <row r="21">
      <c r="A21">
        <f>IFERROR(INDEX('All products'!$A$2:$A$109,MATCH(16,'All products'!$Q$2:$Q$109,0))&amp;"","")</f>
        <v/>
      </c>
      <c r="B21">
        <f>IFERROR(INDEX('All products'!$B$2:$B$109,MATCH(16,'All products'!$Q$2:$Q$109,0))&amp;"","")</f>
        <v/>
      </c>
      <c r="C21">
        <f>IFERROR(INDEX('All products'!$C$2:$C$109,MATCH(16,'All products'!$Q$2:$Q$109,0))&amp;"","")</f>
        <v/>
      </c>
      <c r="D21">
        <f>IFERROR(INDEX('All products'!$D$2:$D$109,MATCH(16,'All products'!$Q$2:$Q$109,0))&amp;"","")</f>
        <v/>
      </c>
      <c r="E21">
        <f>IFERROR(INDEX('All products'!$E$2:$E$109,MATCH(16,'All products'!$Q$2:$Q$109,0))&amp;"","")</f>
        <v/>
      </c>
      <c r="F21">
        <f>IFERROR(INDEX('All products'!$F$2:$F$109,MATCH(16,'All products'!$Q$2:$Q$109,0))&amp;"","")</f>
        <v/>
      </c>
      <c r="G21">
        <f>IFERROR(INDEX('All products'!$G$2:$G$109,MATCH(16,'All products'!$Q$2:$Q$109,0))&amp;"","")</f>
        <v/>
      </c>
      <c r="H21">
        <f>IFERROR(INDEX('All products'!$H$2:$H$109,MATCH(16,'All products'!$Q$2:$Q$109,0))&amp;"","")</f>
        <v/>
      </c>
      <c r="I21">
        <f>IFERROR(INDEX('All products'!$I$2:$I$109,MATCH(16,'All products'!$Q$2:$Q$109,0))&amp;"","")</f>
        <v/>
      </c>
      <c r="J21">
        <f>IFERROR(INDEX('All products'!$J$2:$J$109,MATCH(16,'All products'!$Q$2:$Q$109,0))&amp;"","")</f>
        <v/>
      </c>
      <c r="K21">
        <f>IFERROR(INDEX('All products'!$K$2:$K$109,MATCH(16,'All products'!$Q$2:$Q$109,0))&amp;"","")</f>
        <v/>
      </c>
      <c r="L21">
        <f>IFERROR(INDEX('All products'!$L$2:$L$109,MATCH(16,'All products'!$Q$2:$Q$109,0))&amp;"","")</f>
        <v/>
      </c>
      <c r="M21">
        <f>IFERROR(INDEX('All products'!$M$2:$M$109,MATCH(16,'All products'!$Q$2:$Q$109,0))&amp;"","")</f>
        <v/>
      </c>
      <c r="N21">
        <f>IFERROR(INDEX('All products'!$N$2:$N$109,MATCH(16,'All products'!$Q$2:$Q$109,0))&amp;"","")</f>
        <v/>
      </c>
      <c r="O21">
        <f>IFERROR(HYPERLINK(INDEX('All products'!$O$2:$O$109,MATCH(16,'All products'!$Q$2:$Q$109,0))),"")</f>
        <v/>
      </c>
    </row>
    <row r="22">
      <c r="A22">
        <f>IFERROR(INDEX('All products'!$A$2:$A$109,MATCH(17,'All products'!$Q$2:$Q$109,0))&amp;"","")</f>
        <v/>
      </c>
      <c r="B22">
        <f>IFERROR(INDEX('All products'!$B$2:$B$109,MATCH(17,'All products'!$Q$2:$Q$109,0))&amp;"","")</f>
        <v/>
      </c>
      <c r="C22">
        <f>IFERROR(INDEX('All products'!$C$2:$C$109,MATCH(17,'All products'!$Q$2:$Q$109,0))&amp;"","")</f>
        <v/>
      </c>
      <c r="D22">
        <f>IFERROR(INDEX('All products'!$D$2:$D$109,MATCH(17,'All products'!$Q$2:$Q$109,0))&amp;"","")</f>
        <v/>
      </c>
      <c r="E22">
        <f>IFERROR(INDEX('All products'!$E$2:$E$109,MATCH(17,'All products'!$Q$2:$Q$109,0))&amp;"","")</f>
        <v/>
      </c>
      <c r="F22">
        <f>IFERROR(INDEX('All products'!$F$2:$F$109,MATCH(17,'All products'!$Q$2:$Q$109,0))&amp;"","")</f>
        <v/>
      </c>
      <c r="G22">
        <f>IFERROR(INDEX('All products'!$G$2:$G$109,MATCH(17,'All products'!$Q$2:$Q$109,0))&amp;"","")</f>
        <v/>
      </c>
      <c r="H22">
        <f>IFERROR(INDEX('All products'!$H$2:$H$109,MATCH(17,'All products'!$Q$2:$Q$109,0))&amp;"","")</f>
        <v/>
      </c>
      <c r="I22">
        <f>IFERROR(INDEX('All products'!$I$2:$I$109,MATCH(17,'All products'!$Q$2:$Q$109,0))&amp;"","")</f>
        <v/>
      </c>
      <c r="J22">
        <f>IFERROR(INDEX('All products'!$J$2:$J$109,MATCH(17,'All products'!$Q$2:$Q$109,0))&amp;"","")</f>
        <v/>
      </c>
      <c r="K22">
        <f>IFERROR(INDEX('All products'!$K$2:$K$109,MATCH(17,'All products'!$Q$2:$Q$109,0))&amp;"","")</f>
        <v/>
      </c>
      <c r="L22">
        <f>IFERROR(INDEX('All products'!$L$2:$L$109,MATCH(17,'All products'!$Q$2:$Q$109,0))&amp;"","")</f>
        <v/>
      </c>
      <c r="M22">
        <f>IFERROR(INDEX('All products'!$M$2:$M$109,MATCH(17,'All products'!$Q$2:$Q$109,0))&amp;"","")</f>
        <v/>
      </c>
      <c r="N22">
        <f>IFERROR(INDEX('All products'!$N$2:$N$109,MATCH(17,'All products'!$Q$2:$Q$109,0))&amp;"","")</f>
        <v/>
      </c>
      <c r="O22">
        <f>IFERROR(HYPERLINK(INDEX('All products'!$O$2:$O$109,MATCH(17,'All products'!$Q$2:$Q$109,0))),"")</f>
        <v/>
      </c>
    </row>
    <row r="23">
      <c r="A23">
        <f>IFERROR(INDEX('All products'!$A$2:$A$109,MATCH(18,'All products'!$Q$2:$Q$109,0))&amp;"","")</f>
        <v/>
      </c>
      <c r="B23">
        <f>IFERROR(INDEX('All products'!$B$2:$B$109,MATCH(18,'All products'!$Q$2:$Q$109,0))&amp;"","")</f>
        <v/>
      </c>
      <c r="C23">
        <f>IFERROR(INDEX('All products'!$C$2:$C$109,MATCH(18,'All products'!$Q$2:$Q$109,0))&amp;"","")</f>
        <v/>
      </c>
      <c r="D23">
        <f>IFERROR(INDEX('All products'!$D$2:$D$109,MATCH(18,'All products'!$Q$2:$Q$109,0))&amp;"","")</f>
        <v/>
      </c>
      <c r="E23">
        <f>IFERROR(INDEX('All products'!$E$2:$E$109,MATCH(18,'All products'!$Q$2:$Q$109,0))&amp;"","")</f>
        <v/>
      </c>
      <c r="F23">
        <f>IFERROR(INDEX('All products'!$F$2:$F$109,MATCH(18,'All products'!$Q$2:$Q$109,0))&amp;"","")</f>
        <v/>
      </c>
      <c r="G23">
        <f>IFERROR(INDEX('All products'!$G$2:$G$109,MATCH(18,'All products'!$Q$2:$Q$109,0))&amp;"","")</f>
        <v/>
      </c>
      <c r="H23">
        <f>IFERROR(INDEX('All products'!$H$2:$H$109,MATCH(18,'All products'!$Q$2:$Q$109,0))&amp;"","")</f>
        <v/>
      </c>
      <c r="I23">
        <f>IFERROR(INDEX('All products'!$I$2:$I$109,MATCH(18,'All products'!$Q$2:$Q$109,0))&amp;"","")</f>
        <v/>
      </c>
      <c r="J23">
        <f>IFERROR(INDEX('All products'!$J$2:$J$109,MATCH(18,'All products'!$Q$2:$Q$109,0))&amp;"","")</f>
        <v/>
      </c>
      <c r="K23">
        <f>IFERROR(INDEX('All products'!$K$2:$K$109,MATCH(18,'All products'!$Q$2:$Q$109,0))&amp;"","")</f>
        <v/>
      </c>
      <c r="L23">
        <f>IFERROR(INDEX('All products'!$L$2:$L$109,MATCH(18,'All products'!$Q$2:$Q$109,0))&amp;"","")</f>
        <v/>
      </c>
      <c r="M23">
        <f>IFERROR(INDEX('All products'!$M$2:$M$109,MATCH(18,'All products'!$Q$2:$Q$109,0))&amp;"","")</f>
        <v/>
      </c>
      <c r="N23">
        <f>IFERROR(INDEX('All products'!$N$2:$N$109,MATCH(18,'All products'!$Q$2:$Q$109,0))&amp;"","")</f>
        <v/>
      </c>
      <c r="O23">
        <f>IFERROR(HYPERLINK(INDEX('All products'!$O$2:$O$109,MATCH(18,'All products'!$Q$2:$Q$109,0))),"")</f>
        <v/>
      </c>
    </row>
    <row r="24">
      <c r="A24">
        <f>IFERROR(INDEX('All products'!$A$2:$A$109,MATCH(19,'All products'!$Q$2:$Q$109,0))&amp;"","")</f>
        <v/>
      </c>
      <c r="B24">
        <f>IFERROR(INDEX('All products'!$B$2:$B$109,MATCH(19,'All products'!$Q$2:$Q$109,0))&amp;"","")</f>
        <v/>
      </c>
      <c r="C24">
        <f>IFERROR(INDEX('All products'!$C$2:$C$109,MATCH(19,'All products'!$Q$2:$Q$109,0))&amp;"","")</f>
        <v/>
      </c>
      <c r="D24">
        <f>IFERROR(INDEX('All products'!$D$2:$D$109,MATCH(19,'All products'!$Q$2:$Q$109,0))&amp;"","")</f>
        <v/>
      </c>
      <c r="E24">
        <f>IFERROR(INDEX('All products'!$E$2:$E$109,MATCH(19,'All products'!$Q$2:$Q$109,0))&amp;"","")</f>
        <v/>
      </c>
      <c r="F24">
        <f>IFERROR(INDEX('All products'!$F$2:$F$109,MATCH(19,'All products'!$Q$2:$Q$109,0))&amp;"","")</f>
        <v/>
      </c>
      <c r="G24">
        <f>IFERROR(INDEX('All products'!$G$2:$G$109,MATCH(19,'All products'!$Q$2:$Q$109,0))&amp;"","")</f>
        <v/>
      </c>
      <c r="H24">
        <f>IFERROR(INDEX('All products'!$H$2:$H$109,MATCH(19,'All products'!$Q$2:$Q$109,0))&amp;"","")</f>
        <v/>
      </c>
      <c r="I24">
        <f>IFERROR(INDEX('All products'!$I$2:$I$109,MATCH(19,'All products'!$Q$2:$Q$109,0))&amp;"","")</f>
        <v/>
      </c>
      <c r="J24">
        <f>IFERROR(INDEX('All products'!$J$2:$J$109,MATCH(19,'All products'!$Q$2:$Q$109,0))&amp;"","")</f>
        <v/>
      </c>
      <c r="K24">
        <f>IFERROR(INDEX('All products'!$K$2:$K$109,MATCH(19,'All products'!$Q$2:$Q$109,0))&amp;"","")</f>
        <v/>
      </c>
      <c r="L24">
        <f>IFERROR(INDEX('All products'!$L$2:$L$109,MATCH(19,'All products'!$Q$2:$Q$109,0))&amp;"","")</f>
        <v/>
      </c>
      <c r="M24">
        <f>IFERROR(INDEX('All products'!$M$2:$M$109,MATCH(19,'All products'!$Q$2:$Q$109,0))&amp;"","")</f>
        <v/>
      </c>
      <c r="N24">
        <f>IFERROR(INDEX('All products'!$N$2:$N$109,MATCH(19,'All products'!$Q$2:$Q$109,0))&amp;"","")</f>
        <v/>
      </c>
      <c r="O24">
        <f>IFERROR(HYPERLINK(INDEX('All products'!$O$2:$O$109,MATCH(19,'All products'!$Q$2:$Q$109,0))),"")</f>
        <v/>
      </c>
    </row>
    <row r="25">
      <c r="A25">
        <f>IFERROR(INDEX('All products'!$A$2:$A$109,MATCH(20,'All products'!$Q$2:$Q$109,0))&amp;"","")</f>
        <v/>
      </c>
      <c r="B25">
        <f>IFERROR(INDEX('All products'!$B$2:$B$109,MATCH(20,'All products'!$Q$2:$Q$109,0))&amp;"","")</f>
        <v/>
      </c>
      <c r="C25">
        <f>IFERROR(INDEX('All products'!$C$2:$C$109,MATCH(20,'All products'!$Q$2:$Q$109,0))&amp;"","")</f>
        <v/>
      </c>
      <c r="D25">
        <f>IFERROR(INDEX('All products'!$D$2:$D$109,MATCH(20,'All products'!$Q$2:$Q$109,0))&amp;"","")</f>
        <v/>
      </c>
      <c r="E25">
        <f>IFERROR(INDEX('All products'!$E$2:$E$109,MATCH(20,'All products'!$Q$2:$Q$109,0))&amp;"","")</f>
        <v/>
      </c>
      <c r="F25">
        <f>IFERROR(INDEX('All products'!$F$2:$F$109,MATCH(20,'All products'!$Q$2:$Q$109,0))&amp;"","")</f>
        <v/>
      </c>
      <c r="G25">
        <f>IFERROR(INDEX('All products'!$G$2:$G$109,MATCH(20,'All products'!$Q$2:$Q$109,0))&amp;"","")</f>
        <v/>
      </c>
      <c r="H25">
        <f>IFERROR(INDEX('All products'!$H$2:$H$109,MATCH(20,'All products'!$Q$2:$Q$109,0))&amp;"","")</f>
        <v/>
      </c>
      <c r="I25">
        <f>IFERROR(INDEX('All products'!$I$2:$I$109,MATCH(20,'All products'!$Q$2:$Q$109,0))&amp;"","")</f>
        <v/>
      </c>
      <c r="J25">
        <f>IFERROR(INDEX('All products'!$J$2:$J$109,MATCH(20,'All products'!$Q$2:$Q$109,0))&amp;"","")</f>
        <v/>
      </c>
      <c r="K25">
        <f>IFERROR(INDEX('All products'!$K$2:$K$109,MATCH(20,'All products'!$Q$2:$Q$109,0))&amp;"","")</f>
        <v/>
      </c>
      <c r="L25">
        <f>IFERROR(INDEX('All products'!$L$2:$L$109,MATCH(20,'All products'!$Q$2:$Q$109,0))&amp;"","")</f>
        <v/>
      </c>
      <c r="M25">
        <f>IFERROR(INDEX('All products'!$M$2:$M$109,MATCH(20,'All products'!$Q$2:$Q$109,0))&amp;"","")</f>
        <v/>
      </c>
      <c r="N25">
        <f>IFERROR(INDEX('All products'!$N$2:$N$109,MATCH(20,'All products'!$Q$2:$Q$109,0))&amp;"","")</f>
        <v/>
      </c>
      <c r="O25">
        <f>IFERROR(HYPERLINK(INDEX('All products'!$O$2:$O$109,MATCH(20,'All products'!$Q$2:$Q$109,0))),"")</f>
        <v/>
      </c>
    </row>
    <row r="26">
      <c r="A26">
        <f>IFERROR(INDEX('All products'!$A$2:$A$109,MATCH(21,'All products'!$Q$2:$Q$109,0))&amp;"","")</f>
        <v/>
      </c>
      <c r="B26">
        <f>IFERROR(INDEX('All products'!$B$2:$B$109,MATCH(21,'All products'!$Q$2:$Q$109,0))&amp;"","")</f>
        <v/>
      </c>
      <c r="C26">
        <f>IFERROR(INDEX('All products'!$C$2:$C$109,MATCH(21,'All products'!$Q$2:$Q$109,0))&amp;"","")</f>
        <v/>
      </c>
      <c r="D26">
        <f>IFERROR(INDEX('All products'!$D$2:$D$109,MATCH(21,'All products'!$Q$2:$Q$109,0))&amp;"","")</f>
        <v/>
      </c>
      <c r="E26">
        <f>IFERROR(INDEX('All products'!$E$2:$E$109,MATCH(21,'All products'!$Q$2:$Q$109,0))&amp;"","")</f>
        <v/>
      </c>
      <c r="F26">
        <f>IFERROR(INDEX('All products'!$F$2:$F$109,MATCH(21,'All products'!$Q$2:$Q$109,0))&amp;"","")</f>
        <v/>
      </c>
      <c r="G26">
        <f>IFERROR(INDEX('All products'!$G$2:$G$109,MATCH(21,'All products'!$Q$2:$Q$109,0))&amp;"","")</f>
        <v/>
      </c>
      <c r="H26">
        <f>IFERROR(INDEX('All products'!$H$2:$H$109,MATCH(21,'All products'!$Q$2:$Q$109,0))&amp;"","")</f>
        <v/>
      </c>
      <c r="I26">
        <f>IFERROR(INDEX('All products'!$I$2:$I$109,MATCH(21,'All products'!$Q$2:$Q$109,0))&amp;"","")</f>
        <v/>
      </c>
      <c r="J26">
        <f>IFERROR(INDEX('All products'!$J$2:$J$109,MATCH(21,'All products'!$Q$2:$Q$109,0))&amp;"","")</f>
        <v/>
      </c>
      <c r="K26">
        <f>IFERROR(INDEX('All products'!$K$2:$K$109,MATCH(21,'All products'!$Q$2:$Q$109,0))&amp;"","")</f>
        <v/>
      </c>
      <c r="L26">
        <f>IFERROR(INDEX('All products'!$L$2:$L$109,MATCH(21,'All products'!$Q$2:$Q$109,0))&amp;"","")</f>
        <v/>
      </c>
      <c r="M26">
        <f>IFERROR(INDEX('All products'!$M$2:$M$109,MATCH(21,'All products'!$Q$2:$Q$109,0))&amp;"","")</f>
        <v/>
      </c>
      <c r="N26">
        <f>IFERROR(INDEX('All products'!$N$2:$N$109,MATCH(21,'All products'!$Q$2:$Q$109,0))&amp;"","")</f>
        <v/>
      </c>
      <c r="O26">
        <f>IFERROR(HYPERLINK(INDEX('All products'!$O$2:$O$109,MATCH(21,'All products'!$Q$2:$Q$109,0))),"")</f>
        <v/>
      </c>
    </row>
    <row r="27">
      <c r="A27">
        <f>IFERROR(INDEX('All products'!$A$2:$A$109,MATCH(22,'All products'!$Q$2:$Q$109,0))&amp;"","")</f>
        <v/>
      </c>
      <c r="B27">
        <f>IFERROR(INDEX('All products'!$B$2:$B$109,MATCH(22,'All products'!$Q$2:$Q$109,0))&amp;"","")</f>
        <v/>
      </c>
      <c r="C27">
        <f>IFERROR(INDEX('All products'!$C$2:$C$109,MATCH(22,'All products'!$Q$2:$Q$109,0))&amp;"","")</f>
        <v/>
      </c>
      <c r="D27">
        <f>IFERROR(INDEX('All products'!$D$2:$D$109,MATCH(22,'All products'!$Q$2:$Q$109,0))&amp;"","")</f>
        <v/>
      </c>
      <c r="E27">
        <f>IFERROR(INDEX('All products'!$E$2:$E$109,MATCH(22,'All products'!$Q$2:$Q$109,0))&amp;"","")</f>
        <v/>
      </c>
      <c r="F27">
        <f>IFERROR(INDEX('All products'!$F$2:$F$109,MATCH(22,'All products'!$Q$2:$Q$109,0))&amp;"","")</f>
        <v/>
      </c>
      <c r="G27">
        <f>IFERROR(INDEX('All products'!$G$2:$G$109,MATCH(22,'All products'!$Q$2:$Q$109,0))&amp;"","")</f>
        <v/>
      </c>
      <c r="H27">
        <f>IFERROR(INDEX('All products'!$H$2:$H$109,MATCH(22,'All products'!$Q$2:$Q$109,0))&amp;"","")</f>
        <v/>
      </c>
      <c r="I27">
        <f>IFERROR(INDEX('All products'!$I$2:$I$109,MATCH(22,'All products'!$Q$2:$Q$109,0))&amp;"","")</f>
        <v/>
      </c>
      <c r="J27">
        <f>IFERROR(INDEX('All products'!$J$2:$J$109,MATCH(22,'All products'!$Q$2:$Q$109,0))&amp;"","")</f>
        <v/>
      </c>
      <c r="K27">
        <f>IFERROR(INDEX('All products'!$K$2:$K$109,MATCH(22,'All products'!$Q$2:$Q$109,0))&amp;"","")</f>
        <v/>
      </c>
      <c r="L27">
        <f>IFERROR(INDEX('All products'!$L$2:$L$109,MATCH(22,'All products'!$Q$2:$Q$109,0))&amp;"","")</f>
        <v/>
      </c>
      <c r="M27">
        <f>IFERROR(INDEX('All products'!$M$2:$M$109,MATCH(22,'All products'!$Q$2:$Q$109,0))&amp;"","")</f>
        <v/>
      </c>
      <c r="N27">
        <f>IFERROR(INDEX('All products'!$N$2:$N$109,MATCH(22,'All products'!$Q$2:$Q$109,0))&amp;"","")</f>
        <v/>
      </c>
      <c r="O27">
        <f>IFERROR(HYPERLINK(INDEX('All products'!$O$2:$O$109,MATCH(22,'All products'!$Q$2:$Q$109,0))),"")</f>
        <v/>
      </c>
    </row>
    <row r="28">
      <c r="A28">
        <f>IFERROR(INDEX('All products'!$A$2:$A$109,MATCH(23,'All products'!$Q$2:$Q$109,0))&amp;"","")</f>
        <v/>
      </c>
      <c r="B28">
        <f>IFERROR(INDEX('All products'!$B$2:$B$109,MATCH(23,'All products'!$Q$2:$Q$109,0))&amp;"","")</f>
        <v/>
      </c>
      <c r="C28">
        <f>IFERROR(INDEX('All products'!$C$2:$C$109,MATCH(23,'All products'!$Q$2:$Q$109,0))&amp;"","")</f>
        <v/>
      </c>
      <c r="D28">
        <f>IFERROR(INDEX('All products'!$D$2:$D$109,MATCH(23,'All products'!$Q$2:$Q$109,0))&amp;"","")</f>
        <v/>
      </c>
      <c r="E28">
        <f>IFERROR(INDEX('All products'!$E$2:$E$109,MATCH(23,'All products'!$Q$2:$Q$109,0))&amp;"","")</f>
        <v/>
      </c>
      <c r="F28">
        <f>IFERROR(INDEX('All products'!$F$2:$F$109,MATCH(23,'All products'!$Q$2:$Q$109,0))&amp;"","")</f>
        <v/>
      </c>
      <c r="G28">
        <f>IFERROR(INDEX('All products'!$G$2:$G$109,MATCH(23,'All products'!$Q$2:$Q$109,0))&amp;"","")</f>
        <v/>
      </c>
      <c r="H28">
        <f>IFERROR(INDEX('All products'!$H$2:$H$109,MATCH(23,'All products'!$Q$2:$Q$109,0))&amp;"","")</f>
        <v/>
      </c>
      <c r="I28">
        <f>IFERROR(INDEX('All products'!$I$2:$I$109,MATCH(23,'All products'!$Q$2:$Q$109,0))&amp;"","")</f>
        <v/>
      </c>
      <c r="J28">
        <f>IFERROR(INDEX('All products'!$J$2:$J$109,MATCH(23,'All products'!$Q$2:$Q$109,0))&amp;"","")</f>
        <v/>
      </c>
      <c r="K28">
        <f>IFERROR(INDEX('All products'!$K$2:$K$109,MATCH(23,'All products'!$Q$2:$Q$109,0))&amp;"","")</f>
        <v/>
      </c>
      <c r="L28">
        <f>IFERROR(INDEX('All products'!$L$2:$L$109,MATCH(23,'All products'!$Q$2:$Q$109,0))&amp;"","")</f>
        <v/>
      </c>
      <c r="M28">
        <f>IFERROR(INDEX('All products'!$M$2:$M$109,MATCH(23,'All products'!$Q$2:$Q$109,0))&amp;"","")</f>
        <v/>
      </c>
      <c r="N28">
        <f>IFERROR(INDEX('All products'!$N$2:$N$109,MATCH(23,'All products'!$Q$2:$Q$109,0))&amp;"","")</f>
        <v/>
      </c>
      <c r="O28">
        <f>IFERROR(HYPERLINK(INDEX('All products'!$O$2:$O$109,MATCH(23,'All products'!$Q$2:$Q$109,0))),"")</f>
        <v/>
      </c>
    </row>
    <row r="29">
      <c r="A29">
        <f>IFERROR(INDEX('All products'!$A$2:$A$109,MATCH(24,'All products'!$Q$2:$Q$109,0))&amp;"","")</f>
        <v/>
      </c>
      <c r="B29">
        <f>IFERROR(INDEX('All products'!$B$2:$B$109,MATCH(24,'All products'!$Q$2:$Q$109,0))&amp;"","")</f>
        <v/>
      </c>
      <c r="C29">
        <f>IFERROR(INDEX('All products'!$C$2:$C$109,MATCH(24,'All products'!$Q$2:$Q$109,0))&amp;"","")</f>
        <v/>
      </c>
      <c r="D29">
        <f>IFERROR(INDEX('All products'!$D$2:$D$109,MATCH(24,'All products'!$Q$2:$Q$109,0))&amp;"","")</f>
        <v/>
      </c>
      <c r="E29">
        <f>IFERROR(INDEX('All products'!$E$2:$E$109,MATCH(24,'All products'!$Q$2:$Q$109,0))&amp;"","")</f>
        <v/>
      </c>
      <c r="F29">
        <f>IFERROR(INDEX('All products'!$F$2:$F$109,MATCH(24,'All products'!$Q$2:$Q$109,0))&amp;"","")</f>
        <v/>
      </c>
      <c r="G29">
        <f>IFERROR(INDEX('All products'!$G$2:$G$109,MATCH(24,'All products'!$Q$2:$Q$109,0))&amp;"","")</f>
        <v/>
      </c>
      <c r="H29">
        <f>IFERROR(INDEX('All products'!$H$2:$H$109,MATCH(24,'All products'!$Q$2:$Q$109,0))&amp;"","")</f>
        <v/>
      </c>
      <c r="I29">
        <f>IFERROR(INDEX('All products'!$I$2:$I$109,MATCH(24,'All products'!$Q$2:$Q$109,0))&amp;"","")</f>
        <v/>
      </c>
      <c r="J29">
        <f>IFERROR(INDEX('All products'!$J$2:$J$109,MATCH(24,'All products'!$Q$2:$Q$109,0))&amp;"","")</f>
        <v/>
      </c>
      <c r="K29">
        <f>IFERROR(INDEX('All products'!$K$2:$K$109,MATCH(24,'All products'!$Q$2:$Q$109,0))&amp;"","")</f>
        <v/>
      </c>
      <c r="L29">
        <f>IFERROR(INDEX('All products'!$L$2:$L$109,MATCH(24,'All products'!$Q$2:$Q$109,0))&amp;"","")</f>
        <v/>
      </c>
      <c r="M29">
        <f>IFERROR(INDEX('All products'!$M$2:$M$109,MATCH(24,'All products'!$Q$2:$Q$109,0))&amp;"","")</f>
        <v/>
      </c>
      <c r="N29">
        <f>IFERROR(INDEX('All products'!$N$2:$N$109,MATCH(24,'All products'!$Q$2:$Q$109,0))&amp;"","")</f>
        <v/>
      </c>
      <c r="O29">
        <f>IFERROR(HYPERLINK(INDEX('All products'!$O$2:$O$109,MATCH(24,'All products'!$Q$2:$Q$109,0))),"")</f>
        <v/>
      </c>
    </row>
    <row r="30">
      <c r="A30">
        <f>IFERROR(INDEX('All products'!$A$2:$A$109,MATCH(25,'All products'!$Q$2:$Q$109,0))&amp;"","")</f>
        <v/>
      </c>
      <c r="B30">
        <f>IFERROR(INDEX('All products'!$B$2:$B$109,MATCH(25,'All products'!$Q$2:$Q$109,0))&amp;"","")</f>
        <v/>
      </c>
      <c r="C30">
        <f>IFERROR(INDEX('All products'!$C$2:$C$109,MATCH(25,'All products'!$Q$2:$Q$109,0))&amp;"","")</f>
        <v/>
      </c>
      <c r="D30">
        <f>IFERROR(INDEX('All products'!$D$2:$D$109,MATCH(25,'All products'!$Q$2:$Q$109,0))&amp;"","")</f>
        <v/>
      </c>
      <c r="E30">
        <f>IFERROR(INDEX('All products'!$E$2:$E$109,MATCH(25,'All products'!$Q$2:$Q$109,0))&amp;"","")</f>
        <v/>
      </c>
      <c r="F30">
        <f>IFERROR(INDEX('All products'!$F$2:$F$109,MATCH(25,'All products'!$Q$2:$Q$109,0))&amp;"","")</f>
        <v/>
      </c>
      <c r="G30">
        <f>IFERROR(INDEX('All products'!$G$2:$G$109,MATCH(25,'All products'!$Q$2:$Q$109,0))&amp;"","")</f>
        <v/>
      </c>
      <c r="H30">
        <f>IFERROR(INDEX('All products'!$H$2:$H$109,MATCH(25,'All products'!$Q$2:$Q$109,0))&amp;"","")</f>
        <v/>
      </c>
      <c r="I30">
        <f>IFERROR(INDEX('All products'!$I$2:$I$109,MATCH(25,'All products'!$Q$2:$Q$109,0))&amp;"","")</f>
        <v/>
      </c>
      <c r="J30">
        <f>IFERROR(INDEX('All products'!$J$2:$J$109,MATCH(25,'All products'!$Q$2:$Q$109,0))&amp;"","")</f>
        <v/>
      </c>
      <c r="K30">
        <f>IFERROR(INDEX('All products'!$K$2:$K$109,MATCH(25,'All products'!$Q$2:$Q$109,0))&amp;"","")</f>
        <v/>
      </c>
      <c r="L30">
        <f>IFERROR(INDEX('All products'!$L$2:$L$109,MATCH(25,'All products'!$Q$2:$Q$109,0))&amp;"","")</f>
        <v/>
      </c>
      <c r="M30">
        <f>IFERROR(INDEX('All products'!$M$2:$M$109,MATCH(25,'All products'!$Q$2:$Q$109,0))&amp;"","")</f>
        <v/>
      </c>
      <c r="N30">
        <f>IFERROR(INDEX('All products'!$N$2:$N$109,MATCH(25,'All products'!$Q$2:$Q$109,0))&amp;"","")</f>
        <v/>
      </c>
      <c r="O30">
        <f>IFERROR(HYPERLINK(INDEX('All products'!$O$2:$O$109,MATCH(25,'All products'!$Q$2:$Q$109,0))),"")</f>
        <v/>
      </c>
    </row>
    <row r="31">
      <c r="A31">
        <f>IFERROR(INDEX('All products'!$A$2:$A$109,MATCH(26,'All products'!$Q$2:$Q$109,0))&amp;"","")</f>
        <v/>
      </c>
      <c r="B31">
        <f>IFERROR(INDEX('All products'!$B$2:$B$109,MATCH(26,'All products'!$Q$2:$Q$109,0))&amp;"","")</f>
        <v/>
      </c>
      <c r="C31">
        <f>IFERROR(INDEX('All products'!$C$2:$C$109,MATCH(26,'All products'!$Q$2:$Q$109,0))&amp;"","")</f>
        <v/>
      </c>
      <c r="D31">
        <f>IFERROR(INDEX('All products'!$D$2:$D$109,MATCH(26,'All products'!$Q$2:$Q$109,0))&amp;"","")</f>
        <v/>
      </c>
      <c r="E31">
        <f>IFERROR(INDEX('All products'!$E$2:$E$109,MATCH(26,'All products'!$Q$2:$Q$109,0))&amp;"","")</f>
        <v/>
      </c>
      <c r="F31">
        <f>IFERROR(INDEX('All products'!$F$2:$F$109,MATCH(26,'All products'!$Q$2:$Q$109,0))&amp;"","")</f>
        <v/>
      </c>
      <c r="G31">
        <f>IFERROR(INDEX('All products'!$G$2:$G$109,MATCH(26,'All products'!$Q$2:$Q$109,0))&amp;"","")</f>
        <v/>
      </c>
      <c r="H31">
        <f>IFERROR(INDEX('All products'!$H$2:$H$109,MATCH(26,'All products'!$Q$2:$Q$109,0))&amp;"","")</f>
        <v/>
      </c>
      <c r="I31">
        <f>IFERROR(INDEX('All products'!$I$2:$I$109,MATCH(26,'All products'!$Q$2:$Q$109,0))&amp;"","")</f>
        <v/>
      </c>
      <c r="J31">
        <f>IFERROR(INDEX('All products'!$J$2:$J$109,MATCH(26,'All products'!$Q$2:$Q$109,0))&amp;"","")</f>
        <v/>
      </c>
      <c r="K31">
        <f>IFERROR(INDEX('All products'!$K$2:$K$109,MATCH(26,'All products'!$Q$2:$Q$109,0))&amp;"","")</f>
        <v/>
      </c>
      <c r="L31">
        <f>IFERROR(INDEX('All products'!$L$2:$L$109,MATCH(26,'All products'!$Q$2:$Q$109,0))&amp;"","")</f>
        <v/>
      </c>
      <c r="M31">
        <f>IFERROR(INDEX('All products'!$M$2:$M$109,MATCH(26,'All products'!$Q$2:$Q$109,0))&amp;"","")</f>
        <v/>
      </c>
      <c r="N31">
        <f>IFERROR(INDEX('All products'!$N$2:$N$109,MATCH(26,'All products'!$Q$2:$Q$109,0))&amp;"","")</f>
        <v/>
      </c>
      <c r="O31">
        <f>IFERROR(HYPERLINK(INDEX('All products'!$O$2:$O$109,MATCH(26,'All products'!$Q$2:$Q$109,0))),"")</f>
        <v/>
      </c>
    </row>
    <row r="32">
      <c r="A32">
        <f>IFERROR(INDEX('All products'!$A$2:$A$109,MATCH(27,'All products'!$Q$2:$Q$109,0))&amp;"","")</f>
        <v/>
      </c>
      <c r="B32">
        <f>IFERROR(INDEX('All products'!$B$2:$B$109,MATCH(27,'All products'!$Q$2:$Q$109,0))&amp;"","")</f>
        <v/>
      </c>
      <c r="C32">
        <f>IFERROR(INDEX('All products'!$C$2:$C$109,MATCH(27,'All products'!$Q$2:$Q$109,0))&amp;"","")</f>
        <v/>
      </c>
      <c r="D32">
        <f>IFERROR(INDEX('All products'!$D$2:$D$109,MATCH(27,'All products'!$Q$2:$Q$109,0))&amp;"","")</f>
        <v/>
      </c>
      <c r="E32">
        <f>IFERROR(INDEX('All products'!$E$2:$E$109,MATCH(27,'All products'!$Q$2:$Q$109,0))&amp;"","")</f>
        <v/>
      </c>
      <c r="F32">
        <f>IFERROR(INDEX('All products'!$F$2:$F$109,MATCH(27,'All products'!$Q$2:$Q$109,0))&amp;"","")</f>
        <v/>
      </c>
      <c r="G32">
        <f>IFERROR(INDEX('All products'!$G$2:$G$109,MATCH(27,'All products'!$Q$2:$Q$109,0))&amp;"","")</f>
        <v/>
      </c>
      <c r="H32">
        <f>IFERROR(INDEX('All products'!$H$2:$H$109,MATCH(27,'All products'!$Q$2:$Q$109,0))&amp;"","")</f>
        <v/>
      </c>
      <c r="I32">
        <f>IFERROR(INDEX('All products'!$I$2:$I$109,MATCH(27,'All products'!$Q$2:$Q$109,0))&amp;"","")</f>
        <v/>
      </c>
      <c r="J32">
        <f>IFERROR(INDEX('All products'!$J$2:$J$109,MATCH(27,'All products'!$Q$2:$Q$109,0))&amp;"","")</f>
        <v/>
      </c>
      <c r="K32">
        <f>IFERROR(INDEX('All products'!$K$2:$K$109,MATCH(27,'All products'!$Q$2:$Q$109,0))&amp;"","")</f>
        <v/>
      </c>
      <c r="L32">
        <f>IFERROR(INDEX('All products'!$L$2:$L$109,MATCH(27,'All products'!$Q$2:$Q$109,0))&amp;"","")</f>
        <v/>
      </c>
      <c r="M32">
        <f>IFERROR(INDEX('All products'!$M$2:$M$109,MATCH(27,'All products'!$Q$2:$Q$109,0))&amp;"","")</f>
        <v/>
      </c>
      <c r="N32">
        <f>IFERROR(INDEX('All products'!$N$2:$N$109,MATCH(27,'All products'!$Q$2:$Q$109,0))&amp;"","")</f>
        <v/>
      </c>
      <c r="O32">
        <f>IFERROR(HYPERLINK(INDEX('All products'!$O$2:$O$109,MATCH(27,'All products'!$Q$2:$Q$109,0))),"")</f>
        <v/>
      </c>
    </row>
    <row r="33">
      <c r="A33">
        <f>IFERROR(INDEX('All products'!$A$2:$A$109,MATCH(28,'All products'!$Q$2:$Q$109,0))&amp;"","")</f>
        <v/>
      </c>
      <c r="B33">
        <f>IFERROR(INDEX('All products'!$B$2:$B$109,MATCH(28,'All products'!$Q$2:$Q$109,0))&amp;"","")</f>
        <v/>
      </c>
      <c r="C33">
        <f>IFERROR(INDEX('All products'!$C$2:$C$109,MATCH(28,'All products'!$Q$2:$Q$109,0))&amp;"","")</f>
        <v/>
      </c>
      <c r="D33">
        <f>IFERROR(INDEX('All products'!$D$2:$D$109,MATCH(28,'All products'!$Q$2:$Q$109,0))&amp;"","")</f>
        <v/>
      </c>
      <c r="E33">
        <f>IFERROR(INDEX('All products'!$E$2:$E$109,MATCH(28,'All products'!$Q$2:$Q$109,0))&amp;"","")</f>
        <v/>
      </c>
      <c r="F33">
        <f>IFERROR(INDEX('All products'!$F$2:$F$109,MATCH(28,'All products'!$Q$2:$Q$109,0))&amp;"","")</f>
        <v/>
      </c>
      <c r="G33">
        <f>IFERROR(INDEX('All products'!$G$2:$G$109,MATCH(28,'All products'!$Q$2:$Q$109,0))&amp;"","")</f>
        <v/>
      </c>
      <c r="H33">
        <f>IFERROR(INDEX('All products'!$H$2:$H$109,MATCH(28,'All products'!$Q$2:$Q$109,0))&amp;"","")</f>
        <v/>
      </c>
      <c r="I33">
        <f>IFERROR(INDEX('All products'!$I$2:$I$109,MATCH(28,'All products'!$Q$2:$Q$109,0))&amp;"","")</f>
        <v/>
      </c>
      <c r="J33">
        <f>IFERROR(INDEX('All products'!$J$2:$J$109,MATCH(28,'All products'!$Q$2:$Q$109,0))&amp;"","")</f>
        <v/>
      </c>
      <c r="K33">
        <f>IFERROR(INDEX('All products'!$K$2:$K$109,MATCH(28,'All products'!$Q$2:$Q$109,0))&amp;"","")</f>
        <v/>
      </c>
      <c r="L33">
        <f>IFERROR(INDEX('All products'!$L$2:$L$109,MATCH(28,'All products'!$Q$2:$Q$109,0))&amp;"","")</f>
        <v/>
      </c>
      <c r="M33">
        <f>IFERROR(INDEX('All products'!$M$2:$M$109,MATCH(28,'All products'!$Q$2:$Q$109,0))&amp;"","")</f>
        <v/>
      </c>
      <c r="N33">
        <f>IFERROR(INDEX('All products'!$N$2:$N$109,MATCH(28,'All products'!$Q$2:$Q$109,0))&amp;"","")</f>
        <v/>
      </c>
      <c r="O33">
        <f>IFERROR(HYPERLINK(INDEX('All products'!$O$2:$O$109,MATCH(28,'All products'!$Q$2:$Q$109,0))),"")</f>
        <v/>
      </c>
    </row>
    <row r="34">
      <c r="A34">
        <f>IFERROR(INDEX('All products'!$A$2:$A$109,MATCH(29,'All products'!$Q$2:$Q$109,0))&amp;"","")</f>
        <v/>
      </c>
      <c r="B34">
        <f>IFERROR(INDEX('All products'!$B$2:$B$109,MATCH(29,'All products'!$Q$2:$Q$109,0))&amp;"","")</f>
        <v/>
      </c>
      <c r="C34">
        <f>IFERROR(INDEX('All products'!$C$2:$C$109,MATCH(29,'All products'!$Q$2:$Q$109,0))&amp;"","")</f>
        <v/>
      </c>
      <c r="D34">
        <f>IFERROR(INDEX('All products'!$D$2:$D$109,MATCH(29,'All products'!$Q$2:$Q$109,0))&amp;"","")</f>
        <v/>
      </c>
      <c r="E34">
        <f>IFERROR(INDEX('All products'!$E$2:$E$109,MATCH(29,'All products'!$Q$2:$Q$109,0))&amp;"","")</f>
        <v/>
      </c>
      <c r="F34">
        <f>IFERROR(INDEX('All products'!$F$2:$F$109,MATCH(29,'All products'!$Q$2:$Q$109,0))&amp;"","")</f>
        <v/>
      </c>
      <c r="G34">
        <f>IFERROR(INDEX('All products'!$G$2:$G$109,MATCH(29,'All products'!$Q$2:$Q$109,0))&amp;"","")</f>
        <v/>
      </c>
      <c r="H34">
        <f>IFERROR(INDEX('All products'!$H$2:$H$109,MATCH(29,'All products'!$Q$2:$Q$109,0))&amp;"","")</f>
        <v/>
      </c>
      <c r="I34">
        <f>IFERROR(INDEX('All products'!$I$2:$I$109,MATCH(29,'All products'!$Q$2:$Q$109,0))&amp;"","")</f>
        <v/>
      </c>
      <c r="J34">
        <f>IFERROR(INDEX('All products'!$J$2:$J$109,MATCH(29,'All products'!$Q$2:$Q$109,0))&amp;"","")</f>
        <v/>
      </c>
      <c r="K34">
        <f>IFERROR(INDEX('All products'!$K$2:$K$109,MATCH(29,'All products'!$Q$2:$Q$109,0))&amp;"","")</f>
        <v/>
      </c>
      <c r="L34">
        <f>IFERROR(INDEX('All products'!$L$2:$L$109,MATCH(29,'All products'!$Q$2:$Q$109,0))&amp;"","")</f>
        <v/>
      </c>
      <c r="M34">
        <f>IFERROR(INDEX('All products'!$M$2:$M$109,MATCH(29,'All products'!$Q$2:$Q$109,0))&amp;"","")</f>
        <v/>
      </c>
      <c r="N34">
        <f>IFERROR(INDEX('All products'!$N$2:$N$109,MATCH(29,'All products'!$Q$2:$Q$109,0))&amp;"","")</f>
        <v/>
      </c>
      <c r="O34">
        <f>IFERROR(HYPERLINK(INDEX('All products'!$O$2:$O$109,MATCH(29,'All products'!$Q$2:$Q$109,0))),"")</f>
        <v/>
      </c>
    </row>
    <row r="35">
      <c r="A35">
        <f>IFERROR(INDEX('All products'!$A$2:$A$109,MATCH(30,'All products'!$Q$2:$Q$109,0))&amp;"","")</f>
        <v/>
      </c>
      <c r="B35">
        <f>IFERROR(INDEX('All products'!$B$2:$B$109,MATCH(30,'All products'!$Q$2:$Q$109,0))&amp;"","")</f>
        <v/>
      </c>
      <c r="C35">
        <f>IFERROR(INDEX('All products'!$C$2:$C$109,MATCH(30,'All products'!$Q$2:$Q$109,0))&amp;"","")</f>
        <v/>
      </c>
      <c r="D35">
        <f>IFERROR(INDEX('All products'!$D$2:$D$109,MATCH(30,'All products'!$Q$2:$Q$109,0))&amp;"","")</f>
        <v/>
      </c>
      <c r="E35">
        <f>IFERROR(INDEX('All products'!$E$2:$E$109,MATCH(30,'All products'!$Q$2:$Q$109,0))&amp;"","")</f>
        <v/>
      </c>
      <c r="F35">
        <f>IFERROR(INDEX('All products'!$F$2:$F$109,MATCH(30,'All products'!$Q$2:$Q$109,0))&amp;"","")</f>
        <v/>
      </c>
      <c r="G35">
        <f>IFERROR(INDEX('All products'!$G$2:$G$109,MATCH(30,'All products'!$Q$2:$Q$109,0))&amp;"","")</f>
        <v/>
      </c>
      <c r="H35">
        <f>IFERROR(INDEX('All products'!$H$2:$H$109,MATCH(30,'All products'!$Q$2:$Q$109,0))&amp;"","")</f>
        <v/>
      </c>
      <c r="I35">
        <f>IFERROR(INDEX('All products'!$I$2:$I$109,MATCH(30,'All products'!$Q$2:$Q$109,0))&amp;"","")</f>
        <v/>
      </c>
      <c r="J35">
        <f>IFERROR(INDEX('All products'!$J$2:$J$109,MATCH(30,'All products'!$Q$2:$Q$109,0))&amp;"","")</f>
        <v/>
      </c>
      <c r="K35">
        <f>IFERROR(INDEX('All products'!$K$2:$K$109,MATCH(30,'All products'!$Q$2:$Q$109,0))&amp;"","")</f>
        <v/>
      </c>
      <c r="L35">
        <f>IFERROR(INDEX('All products'!$L$2:$L$109,MATCH(30,'All products'!$Q$2:$Q$109,0))&amp;"","")</f>
        <v/>
      </c>
      <c r="M35">
        <f>IFERROR(INDEX('All products'!$M$2:$M$109,MATCH(30,'All products'!$Q$2:$Q$109,0))&amp;"","")</f>
        <v/>
      </c>
      <c r="N35">
        <f>IFERROR(INDEX('All products'!$N$2:$N$109,MATCH(30,'All products'!$Q$2:$Q$109,0))&amp;"","")</f>
        <v/>
      </c>
      <c r="O35">
        <f>IFERROR(HYPERLINK(INDEX('All products'!$O$2:$O$109,MATCH(30,'All products'!$Q$2:$Q$109,0))),"")</f>
        <v/>
      </c>
    </row>
    <row r="36">
      <c r="A36">
        <f>IFERROR(INDEX('All products'!$A$2:$A$109,MATCH(31,'All products'!$Q$2:$Q$109,0))&amp;"","")</f>
        <v/>
      </c>
      <c r="B36">
        <f>IFERROR(INDEX('All products'!$B$2:$B$109,MATCH(31,'All products'!$Q$2:$Q$109,0))&amp;"","")</f>
        <v/>
      </c>
      <c r="C36">
        <f>IFERROR(INDEX('All products'!$C$2:$C$109,MATCH(31,'All products'!$Q$2:$Q$109,0))&amp;"","")</f>
        <v/>
      </c>
      <c r="D36">
        <f>IFERROR(INDEX('All products'!$D$2:$D$109,MATCH(31,'All products'!$Q$2:$Q$109,0))&amp;"","")</f>
        <v/>
      </c>
      <c r="E36">
        <f>IFERROR(INDEX('All products'!$E$2:$E$109,MATCH(31,'All products'!$Q$2:$Q$109,0))&amp;"","")</f>
        <v/>
      </c>
      <c r="F36">
        <f>IFERROR(INDEX('All products'!$F$2:$F$109,MATCH(31,'All products'!$Q$2:$Q$109,0))&amp;"","")</f>
        <v/>
      </c>
      <c r="G36">
        <f>IFERROR(INDEX('All products'!$G$2:$G$109,MATCH(31,'All products'!$Q$2:$Q$109,0))&amp;"","")</f>
        <v/>
      </c>
      <c r="H36">
        <f>IFERROR(INDEX('All products'!$H$2:$H$109,MATCH(31,'All products'!$Q$2:$Q$109,0))&amp;"","")</f>
        <v/>
      </c>
      <c r="I36">
        <f>IFERROR(INDEX('All products'!$I$2:$I$109,MATCH(31,'All products'!$Q$2:$Q$109,0))&amp;"","")</f>
        <v/>
      </c>
      <c r="J36">
        <f>IFERROR(INDEX('All products'!$J$2:$J$109,MATCH(31,'All products'!$Q$2:$Q$109,0))&amp;"","")</f>
        <v/>
      </c>
      <c r="K36">
        <f>IFERROR(INDEX('All products'!$K$2:$K$109,MATCH(31,'All products'!$Q$2:$Q$109,0))&amp;"","")</f>
        <v/>
      </c>
      <c r="L36">
        <f>IFERROR(INDEX('All products'!$L$2:$L$109,MATCH(31,'All products'!$Q$2:$Q$109,0))&amp;"","")</f>
        <v/>
      </c>
      <c r="M36">
        <f>IFERROR(INDEX('All products'!$M$2:$M$109,MATCH(31,'All products'!$Q$2:$Q$109,0))&amp;"","")</f>
        <v/>
      </c>
      <c r="N36">
        <f>IFERROR(INDEX('All products'!$N$2:$N$109,MATCH(31,'All products'!$Q$2:$Q$109,0))&amp;"","")</f>
        <v/>
      </c>
      <c r="O36">
        <f>IFERROR(HYPERLINK(INDEX('All products'!$O$2:$O$109,MATCH(31,'All products'!$Q$2:$Q$109,0))),"")</f>
        <v/>
      </c>
    </row>
    <row r="37">
      <c r="A37">
        <f>IFERROR(INDEX('All products'!$A$2:$A$109,MATCH(32,'All products'!$Q$2:$Q$109,0))&amp;"","")</f>
        <v/>
      </c>
      <c r="B37">
        <f>IFERROR(INDEX('All products'!$B$2:$B$109,MATCH(32,'All products'!$Q$2:$Q$109,0))&amp;"","")</f>
        <v/>
      </c>
      <c r="C37">
        <f>IFERROR(INDEX('All products'!$C$2:$C$109,MATCH(32,'All products'!$Q$2:$Q$109,0))&amp;"","")</f>
        <v/>
      </c>
      <c r="D37">
        <f>IFERROR(INDEX('All products'!$D$2:$D$109,MATCH(32,'All products'!$Q$2:$Q$109,0))&amp;"","")</f>
        <v/>
      </c>
      <c r="E37">
        <f>IFERROR(INDEX('All products'!$E$2:$E$109,MATCH(32,'All products'!$Q$2:$Q$109,0))&amp;"","")</f>
        <v/>
      </c>
      <c r="F37">
        <f>IFERROR(INDEX('All products'!$F$2:$F$109,MATCH(32,'All products'!$Q$2:$Q$109,0))&amp;"","")</f>
        <v/>
      </c>
      <c r="G37">
        <f>IFERROR(INDEX('All products'!$G$2:$G$109,MATCH(32,'All products'!$Q$2:$Q$109,0))&amp;"","")</f>
        <v/>
      </c>
      <c r="H37">
        <f>IFERROR(INDEX('All products'!$H$2:$H$109,MATCH(32,'All products'!$Q$2:$Q$109,0))&amp;"","")</f>
        <v/>
      </c>
      <c r="I37">
        <f>IFERROR(INDEX('All products'!$I$2:$I$109,MATCH(32,'All products'!$Q$2:$Q$109,0))&amp;"","")</f>
        <v/>
      </c>
      <c r="J37">
        <f>IFERROR(INDEX('All products'!$J$2:$J$109,MATCH(32,'All products'!$Q$2:$Q$109,0))&amp;"","")</f>
        <v/>
      </c>
      <c r="K37">
        <f>IFERROR(INDEX('All products'!$K$2:$K$109,MATCH(32,'All products'!$Q$2:$Q$109,0))&amp;"","")</f>
        <v/>
      </c>
      <c r="L37">
        <f>IFERROR(INDEX('All products'!$L$2:$L$109,MATCH(32,'All products'!$Q$2:$Q$109,0))&amp;"","")</f>
        <v/>
      </c>
      <c r="M37">
        <f>IFERROR(INDEX('All products'!$M$2:$M$109,MATCH(32,'All products'!$Q$2:$Q$109,0))&amp;"","")</f>
        <v/>
      </c>
      <c r="N37">
        <f>IFERROR(INDEX('All products'!$N$2:$N$109,MATCH(32,'All products'!$Q$2:$Q$109,0))&amp;"","")</f>
        <v/>
      </c>
      <c r="O37">
        <f>IFERROR(HYPERLINK(INDEX('All products'!$O$2:$O$109,MATCH(32,'All products'!$Q$2:$Q$109,0))),"")</f>
        <v/>
      </c>
    </row>
    <row r="38">
      <c r="A38">
        <f>IFERROR(INDEX('All products'!$A$2:$A$109,MATCH(33,'All products'!$Q$2:$Q$109,0))&amp;"","")</f>
        <v/>
      </c>
      <c r="B38">
        <f>IFERROR(INDEX('All products'!$B$2:$B$109,MATCH(33,'All products'!$Q$2:$Q$109,0))&amp;"","")</f>
        <v/>
      </c>
      <c r="C38">
        <f>IFERROR(INDEX('All products'!$C$2:$C$109,MATCH(33,'All products'!$Q$2:$Q$109,0))&amp;"","")</f>
        <v/>
      </c>
      <c r="D38">
        <f>IFERROR(INDEX('All products'!$D$2:$D$109,MATCH(33,'All products'!$Q$2:$Q$109,0))&amp;"","")</f>
        <v/>
      </c>
      <c r="E38">
        <f>IFERROR(INDEX('All products'!$E$2:$E$109,MATCH(33,'All products'!$Q$2:$Q$109,0))&amp;"","")</f>
        <v/>
      </c>
      <c r="F38">
        <f>IFERROR(INDEX('All products'!$F$2:$F$109,MATCH(33,'All products'!$Q$2:$Q$109,0))&amp;"","")</f>
        <v/>
      </c>
      <c r="G38">
        <f>IFERROR(INDEX('All products'!$G$2:$G$109,MATCH(33,'All products'!$Q$2:$Q$109,0))&amp;"","")</f>
        <v/>
      </c>
      <c r="H38">
        <f>IFERROR(INDEX('All products'!$H$2:$H$109,MATCH(33,'All products'!$Q$2:$Q$109,0))&amp;"","")</f>
        <v/>
      </c>
      <c r="I38">
        <f>IFERROR(INDEX('All products'!$I$2:$I$109,MATCH(33,'All products'!$Q$2:$Q$109,0))&amp;"","")</f>
        <v/>
      </c>
      <c r="J38">
        <f>IFERROR(INDEX('All products'!$J$2:$J$109,MATCH(33,'All products'!$Q$2:$Q$109,0))&amp;"","")</f>
        <v/>
      </c>
      <c r="K38">
        <f>IFERROR(INDEX('All products'!$K$2:$K$109,MATCH(33,'All products'!$Q$2:$Q$109,0))&amp;"","")</f>
        <v/>
      </c>
      <c r="L38">
        <f>IFERROR(INDEX('All products'!$L$2:$L$109,MATCH(33,'All products'!$Q$2:$Q$109,0))&amp;"","")</f>
        <v/>
      </c>
      <c r="M38">
        <f>IFERROR(INDEX('All products'!$M$2:$M$109,MATCH(33,'All products'!$Q$2:$Q$109,0))&amp;"","")</f>
        <v/>
      </c>
      <c r="N38">
        <f>IFERROR(INDEX('All products'!$N$2:$N$109,MATCH(33,'All products'!$Q$2:$Q$109,0))&amp;"","")</f>
        <v/>
      </c>
      <c r="O38">
        <f>IFERROR(HYPERLINK(INDEX('All products'!$O$2:$O$109,MATCH(33,'All products'!$Q$2:$Q$109,0))),"")</f>
        <v/>
      </c>
    </row>
    <row r="39">
      <c r="A39">
        <f>IFERROR(INDEX('All products'!$A$2:$A$109,MATCH(34,'All products'!$Q$2:$Q$109,0))&amp;"","")</f>
        <v/>
      </c>
      <c r="B39">
        <f>IFERROR(INDEX('All products'!$B$2:$B$109,MATCH(34,'All products'!$Q$2:$Q$109,0))&amp;"","")</f>
        <v/>
      </c>
      <c r="C39">
        <f>IFERROR(INDEX('All products'!$C$2:$C$109,MATCH(34,'All products'!$Q$2:$Q$109,0))&amp;"","")</f>
        <v/>
      </c>
      <c r="D39">
        <f>IFERROR(INDEX('All products'!$D$2:$D$109,MATCH(34,'All products'!$Q$2:$Q$109,0))&amp;"","")</f>
        <v/>
      </c>
      <c r="E39">
        <f>IFERROR(INDEX('All products'!$E$2:$E$109,MATCH(34,'All products'!$Q$2:$Q$109,0))&amp;"","")</f>
        <v/>
      </c>
      <c r="F39">
        <f>IFERROR(INDEX('All products'!$F$2:$F$109,MATCH(34,'All products'!$Q$2:$Q$109,0))&amp;"","")</f>
        <v/>
      </c>
      <c r="G39">
        <f>IFERROR(INDEX('All products'!$G$2:$G$109,MATCH(34,'All products'!$Q$2:$Q$109,0))&amp;"","")</f>
        <v/>
      </c>
      <c r="H39">
        <f>IFERROR(INDEX('All products'!$H$2:$H$109,MATCH(34,'All products'!$Q$2:$Q$109,0))&amp;"","")</f>
        <v/>
      </c>
      <c r="I39">
        <f>IFERROR(INDEX('All products'!$I$2:$I$109,MATCH(34,'All products'!$Q$2:$Q$109,0))&amp;"","")</f>
        <v/>
      </c>
      <c r="J39">
        <f>IFERROR(INDEX('All products'!$J$2:$J$109,MATCH(34,'All products'!$Q$2:$Q$109,0))&amp;"","")</f>
        <v/>
      </c>
      <c r="K39">
        <f>IFERROR(INDEX('All products'!$K$2:$K$109,MATCH(34,'All products'!$Q$2:$Q$109,0))&amp;"","")</f>
        <v/>
      </c>
      <c r="L39">
        <f>IFERROR(INDEX('All products'!$L$2:$L$109,MATCH(34,'All products'!$Q$2:$Q$109,0))&amp;"","")</f>
        <v/>
      </c>
      <c r="M39">
        <f>IFERROR(INDEX('All products'!$M$2:$M$109,MATCH(34,'All products'!$Q$2:$Q$109,0))&amp;"","")</f>
        <v/>
      </c>
      <c r="N39">
        <f>IFERROR(INDEX('All products'!$N$2:$N$109,MATCH(34,'All products'!$Q$2:$Q$109,0))&amp;"","")</f>
        <v/>
      </c>
      <c r="O39">
        <f>IFERROR(HYPERLINK(INDEX('All products'!$O$2:$O$109,MATCH(34,'All products'!$Q$2:$Q$109,0))),"")</f>
        <v/>
      </c>
    </row>
    <row r="40">
      <c r="A40">
        <f>IFERROR(INDEX('All products'!$A$2:$A$109,MATCH(35,'All products'!$Q$2:$Q$109,0))&amp;"","")</f>
        <v/>
      </c>
      <c r="B40">
        <f>IFERROR(INDEX('All products'!$B$2:$B$109,MATCH(35,'All products'!$Q$2:$Q$109,0))&amp;"","")</f>
        <v/>
      </c>
      <c r="C40">
        <f>IFERROR(INDEX('All products'!$C$2:$C$109,MATCH(35,'All products'!$Q$2:$Q$109,0))&amp;"","")</f>
        <v/>
      </c>
      <c r="D40">
        <f>IFERROR(INDEX('All products'!$D$2:$D$109,MATCH(35,'All products'!$Q$2:$Q$109,0))&amp;"","")</f>
        <v/>
      </c>
      <c r="E40">
        <f>IFERROR(INDEX('All products'!$E$2:$E$109,MATCH(35,'All products'!$Q$2:$Q$109,0))&amp;"","")</f>
        <v/>
      </c>
      <c r="F40">
        <f>IFERROR(INDEX('All products'!$F$2:$F$109,MATCH(35,'All products'!$Q$2:$Q$109,0))&amp;"","")</f>
        <v/>
      </c>
      <c r="G40">
        <f>IFERROR(INDEX('All products'!$G$2:$G$109,MATCH(35,'All products'!$Q$2:$Q$109,0))&amp;"","")</f>
        <v/>
      </c>
      <c r="H40">
        <f>IFERROR(INDEX('All products'!$H$2:$H$109,MATCH(35,'All products'!$Q$2:$Q$109,0))&amp;"","")</f>
        <v/>
      </c>
      <c r="I40">
        <f>IFERROR(INDEX('All products'!$I$2:$I$109,MATCH(35,'All products'!$Q$2:$Q$109,0))&amp;"","")</f>
        <v/>
      </c>
      <c r="J40">
        <f>IFERROR(INDEX('All products'!$J$2:$J$109,MATCH(35,'All products'!$Q$2:$Q$109,0))&amp;"","")</f>
        <v/>
      </c>
      <c r="K40">
        <f>IFERROR(INDEX('All products'!$K$2:$K$109,MATCH(35,'All products'!$Q$2:$Q$109,0))&amp;"","")</f>
        <v/>
      </c>
      <c r="L40">
        <f>IFERROR(INDEX('All products'!$L$2:$L$109,MATCH(35,'All products'!$Q$2:$Q$109,0))&amp;"","")</f>
        <v/>
      </c>
      <c r="M40">
        <f>IFERROR(INDEX('All products'!$M$2:$M$109,MATCH(35,'All products'!$Q$2:$Q$109,0))&amp;"","")</f>
        <v/>
      </c>
      <c r="N40">
        <f>IFERROR(INDEX('All products'!$N$2:$N$109,MATCH(35,'All products'!$Q$2:$Q$109,0))&amp;"","")</f>
        <v/>
      </c>
      <c r="O40">
        <f>IFERROR(HYPERLINK(INDEX('All products'!$O$2:$O$109,MATCH(35,'All products'!$Q$2:$Q$109,0))),"")</f>
        <v/>
      </c>
    </row>
    <row r="41">
      <c r="A41">
        <f>IFERROR(INDEX('All products'!$A$2:$A$109,MATCH(36,'All products'!$Q$2:$Q$109,0))&amp;"","")</f>
        <v/>
      </c>
      <c r="B41">
        <f>IFERROR(INDEX('All products'!$B$2:$B$109,MATCH(36,'All products'!$Q$2:$Q$109,0))&amp;"","")</f>
        <v/>
      </c>
      <c r="C41">
        <f>IFERROR(INDEX('All products'!$C$2:$C$109,MATCH(36,'All products'!$Q$2:$Q$109,0))&amp;"","")</f>
        <v/>
      </c>
      <c r="D41">
        <f>IFERROR(INDEX('All products'!$D$2:$D$109,MATCH(36,'All products'!$Q$2:$Q$109,0))&amp;"","")</f>
        <v/>
      </c>
      <c r="E41">
        <f>IFERROR(INDEX('All products'!$E$2:$E$109,MATCH(36,'All products'!$Q$2:$Q$109,0))&amp;"","")</f>
        <v/>
      </c>
      <c r="F41">
        <f>IFERROR(INDEX('All products'!$F$2:$F$109,MATCH(36,'All products'!$Q$2:$Q$109,0))&amp;"","")</f>
        <v/>
      </c>
      <c r="G41">
        <f>IFERROR(INDEX('All products'!$G$2:$G$109,MATCH(36,'All products'!$Q$2:$Q$109,0))&amp;"","")</f>
        <v/>
      </c>
      <c r="H41">
        <f>IFERROR(INDEX('All products'!$H$2:$H$109,MATCH(36,'All products'!$Q$2:$Q$109,0))&amp;"","")</f>
        <v/>
      </c>
      <c r="I41">
        <f>IFERROR(INDEX('All products'!$I$2:$I$109,MATCH(36,'All products'!$Q$2:$Q$109,0))&amp;"","")</f>
        <v/>
      </c>
      <c r="J41">
        <f>IFERROR(INDEX('All products'!$J$2:$J$109,MATCH(36,'All products'!$Q$2:$Q$109,0))&amp;"","")</f>
        <v/>
      </c>
      <c r="K41">
        <f>IFERROR(INDEX('All products'!$K$2:$K$109,MATCH(36,'All products'!$Q$2:$Q$109,0))&amp;"","")</f>
        <v/>
      </c>
      <c r="L41">
        <f>IFERROR(INDEX('All products'!$L$2:$L$109,MATCH(36,'All products'!$Q$2:$Q$109,0))&amp;"","")</f>
        <v/>
      </c>
      <c r="M41">
        <f>IFERROR(INDEX('All products'!$M$2:$M$109,MATCH(36,'All products'!$Q$2:$Q$109,0))&amp;"","")</f>
        <v/>
      </c>
      <c r="N41">
        <f>IFERROR(INDEX('All products'!$N$2:$N$109,MATCH(36,'All products'!$Q$2:$Q$109,0))&amp;"","")</f>
        <v/>
      </c>
      <c r="O41">
        <f>IFERROR(HYPERLINK(INDEX('All products'!$O$2:$O$109,MATCH(36,'All products'!$Q$2:$Q$109,0))),"")</f>
        <v/>
      </c>
    </row>
    <row r="42">
      <c r="A42">
        <f>IFERROR(INDEX('All products'!$A$2:$A$109,MATCH(37,'All products'!$Q$2:$Q$109,0))&amp;"","")</f>
        <v/>
      </c>
      <c r="B42">
        <f>IFERROR(INDEX('All products'!$B$2:$B$109,MATCH(37,'All products'!$Q$2:$Q$109,0))&amp;"","")</f>
        <v/>
      </c>
      <c r="C42">
        <f>IFERROR(INDEX('All products'!$C$2:$C$109,MATCH(37,'All products'!$Q$2:$Q$109,0))&amp;"","")</f>
        <v/>
      </c>
      <c r="D42">
        <f>IFERROR(INDEX('All products'!$D$2:$D$109,MATCH(37,'All products'!$Q$2:$Q$109,0))&amp;"","")</f>
        <v/>
      </c>
      <c r="E42">
        <f>IFERROR(INDEX('All products'!$E$2:$E$109,MATCH(37,'All products'!$Q$2:$Q$109,0))&amp;"","")</f>
        <v/>
      </c>
      <c r="F42">
        <f>IFERROR(INDEX('All products'!$F$2:$F$109,MATCH(37,'All products'!$Q$2:$Q$109,0))&amp;"","")</f>
        <v/>
      </c>
      <c r="G42">
        <f>IFERROR(INDEX('All products'!$G$2:$G$109,MATCH(37,'All products'!$Q$2:$Q$109,0))&amp;"","")</f>
        <v/>
      </c>
      <c r="H42">
        <f>IFERROR(INDEX('All products'!$H$2:$H$109,MATCH(37,'All products'!$Q$2:$Q$109,0))&amp;"","")</f>
        <v/>
      </c>
      <c r="I42">
        <f>IFERROR(INDEX('All products'!$I$2:$I$109,MATCH(37,'All products'!$Q$2:$Q$109,0))&amp;"","")</f>
        <v/>
      </c>
      <c r="J42">
        <f>IFERROR(INDEX('All products'!$J$2:$J$109,MATCH(37,'All products'!$Q$2:$Q$109,0))&amp;"","")</f>
        <v/>
      </c>
      <c r="K42">
        <f>IFERROR(INDEX('All products'!$K$2:$K$109,MATCH(37,'All products'!$Q$2:$Q$109,0))&amp;"","")</f>
        <v/>
      </c>
      <c r="L42">
        <f>IFERROR(INDEX('All products'!$L$2:$L$109,MATCH(37,'All products'!$Q$2:$Q$109,0))&amp;"","")</f>
        <v/>
      </c>
      <c r="M42">
        <f>IFERROR(INDEX('All products'!$M$2:$M$109,MATCH(37,'All products'!$Q$2:$Q$109,0))&amp;"","")</f>
        <v/>
      </c>
      <c r="N42">
        <f>IFERROR(INDEX('All products'!$N$2:$N$109,MATCH(37,'All products'!$Q$2:$Q$109,0))&amp;"","")</f>
        <v/>
      </c>
      <c r="O42">
        <f>IFERROR(HYPERLINK(INDEX('All products'!$O$2:$O$109,MATCH(37,'All products'!$Q$2:$Q$109,0))),"")</f>
        <v/>
      </c>
    </row>
    <row r="43">
      <c r="A43">
        <f>IFERROR(INDEX('All products'!$A$2:$A$109,MATCH(38,'All products'!$Q$2:$Q$109,0))&amp;"","")</f>
        <v/>
      </c>
      <c r="B43">
        <f>IFERROR(INDEX('All products'!$B$2:$B$109,MATCH(38,'All products'!$Q$2:$Q$109,0))&amp;"","")</f>
        <v/>
      </c>
      <c r="C43">
        <f>IFERROR(INDEX('All products'!$C$2:$C$109,MATCH(38,'All products'!$Q$2:$Q$109,0))&amp;"","")</f>
        <v/>
      </c>
      <c r="D43">
        <f>IFERROR(INDEX('All products'!$D$2:$D$109,MATCH(38,'All products'!$Q$2:$Q$109,0))&amp;"","")</f>
        <v/>
      </c>
      <c r="E43">
        <f>IFERROR(INDEX('All products'!$E$2:$E$109,MATCH(38,'All products'!$Q$2:$Q$109,0))&amp;"","")</f>
        <v/>
      </c>
      <c r="F43">
        <f>IFERROR(INDEX('All products'!$F$2:$F$109,MATCH(38,'All products'!$Q$2:$Q$109,0))&amp;"","")</f>
        <v/>
      </c>
      <c r="G43">
        <f>IFERROR(INDEX('All products'!$G$2:$G$109,MATCH(38,'All products'!$Q$2:$Q$109,0))&amp;"","")</f>
        <v/>
      </c>
      <c r="H43">
        <f>IFERROR(INDEX('All products'!$H$2:$H$109,MATCH(38,'All products'!$Q$2:$Q$109,0))&amp;"","")</f>
        <v/>
      </c>
      <c r="I43">
        <f>IFERROR(INDEX('All products'!$I$2:$I$109,MATCH(38,'All products'!$Q$2:$Q$109,0))&amp;"","")</f>
        <v/>
      </c>
      <c r="J43">
        <f>IFERROR(INDEX('All products'!$J$2:$J$109,MATCH(38,'All products'!$Q$2:$Q$109,0))&amp;"","")</f>
        <v/>
      </c>
      <c r="K43">
        <f>IFERROR(INDEX('All products'!$K$2:$K$109,MATCH(38,'All products'!$Q$2:$Q$109,0))&amp;"","")</f>
        <v/>
      </c>
      <c r="L43">
        <f>IFERROR(INDEX('All products'!$L$2:$L$109,MATCH(38,'All products'!$Q$2:$Q$109,0))&amp;"","")</f>
        <v/>
      </c>
      <c r="M43">
        <f>IFERROR(INDEX('All products'!$M$2:$M$109,MATCH(38,'All products'!$Q$2:$Q$109,0))&amp;"","")</f>
        <v/>
      </c>
      <c r="N43">
        <f>IFERROR(INDEX('All products'!$N$2:$N$109,MATCH(38,'All products'!$Q$2:$Q$109,0))&amp;"","")</f>
        <v/>
      </c>
      <c r="O43">
        <f>IFERROR(HYPERLINK(INDEX('All products'!$O$2:$O$109,MATCH(38,'All products'!$Q$2:$Q$109,0))),"")</f>
        <v/>
      </c>
    </row>
    <row r="44">
      <c r="A44">
        <f>IFERROR(INDEX('All products'!$A$2:$A$109,MATCH(39,'All products'!$Q$2:$Q$109,0))&amp;"","")</f>
        <v/>
      </c>
      <c r="B44">
        <f>IFERROR(INDEX('All products'!$B$2:$B$109,MATCH(39,'All products'!$Q$2:$Q$109,0))&amp;"","")</f>
        <v/>
      </c>
      <c r="C44">
        <f>IFERROR(INDEX('All products'!$C$2:$C$109,MATCH(39,'All products'!$Q$2:$Q$109,0))&amp;"","")</f>
        <v/>
      </c>
      <c r="D44">
        <f>IFERROR(INDEX('All products'!$D$2:$D$109,MATCH(39,'All products'!$Q$2:$Q$109,0))&amp;"","")</f>
        <v/>
      </c>
      <c r="E44">
        <f>IFERROR(INDEX('All products'!$E$2:$E$109,MATCH(39,'All products'!$Q$2:$Q$109,0))&amp;"","")</f>
        <v/>
      </c>
      <c r="F44">
        <f>IFERROR(INDEX('All products'!$F$2:$F$109,MATCH(39,'All products'!$Q$2:$Q$109,0))&amp;"","")</f>
        <v/>
      </c>
      <c r="G44">
        <f>IFERROR(INDEX('All products'!$G$2:$G$109,MATCH(39,'All products'!$Q$2:$Q$109,0))&amp;"","")</f>
        <v/>
      </c>
      <c r="H44">
        <f>IFERROR(INDEX('All products'!$H$2:$H$109,MATCH(39,'All products'!$Q$2:$Q$109,0))&amp;"","")</f>
        <v/>
      </c>
      <c r="I44">
        <f>IFERROR(INDEX('All products'!$I$2:$I$109,MATCH(39,'All products'!$Q$2:$Q$109,0))&amp;"","")</f>
        <v/>
      </c>
      <c r="J44">
        <f>IFERROR(INDEX('All products'!$J$2:$J$109,MATCH(39,'All products'!$Q$2:$Q$109,0))&amp;"","")</f>
        <v/>
      </c>
      <c r="K44">
        <f>IFERROR(INDEX('All products'!$K$2:$K$109,MATCH(39,'All products'!$Q$2:$Q$109,0))&amp;"","")</f>
        <v/>
      </c>
      <c r="L44">
        <f>IFERROR(INDEX('All products'!$L$2:$L$109,MATCH(39,'All products'!$Q$2:$Q$109,0))&amp;"","")</f>
        <v/>
      </c>
      <c r="M44">
        <f>IFERROR(INDEX('All products'!$M$2:$M$109,MATCH(39,'All products'!$Q$2:$Q$109,0))&amp;"","")</f>
        <v/>
      </c>
      <c r="N44">
        <f>IFERROR(INDEX('All products'!$N$2:$N$109,MATCH(39,'All products'!$Q$2:$Q$109,0))&amp;"","")</f>
        <v/>
      </c>
      <c r="O44">
        <f>IFERROR(HYPERLINK(INDEX('All products'!$O$2:$O$109,MATCH(39,'All products'!$Q$2:$Q$109,0))),"")</f>
        <v/>
      </c>
    </row>
    <row r="45">
      <c r="A45">
        <f>IFERROR(INDEX('All products'!$A$2:$A$109,MATCH(40,'All products'!$Q$2:$Q$109,0))&amp;"","")</f>
        <v/>
      </c>
      <c r="B45">
        <f>IFERROR(INDEX('All products'!$B$2:$B$109,MATCH(40,'All products'!$Q$2:$Q$109,0))&amp;"","")</f>
        <v/>
      </c>
      <c r="C45">
        <f>IFERROR(INDEX('All products'!$C$2:$C$109,MATCH(40,'All products'!$Q$2:$Q$109,0))&amp;"","")</f>
        <v/>
      </c>
      <c r="D45">
        <f>IFERROR(INDEX('All products'!$D$2:$D$109,MATCH(40,'All products'!$Q$2:$Q$109,0))&amp;"","")</f>
        <v/>
      </c>
      <c r="E45">
        <f>IFERROR(INDEX('All products'!$E$2:$E$109,MATCH(40,'All products'!$Q$2:$Q$109,0))&amp;"","")</f>
        <v/>
      </c>
      <c r="F45">
        <f>IFERROR(INDEX('All products'!$F$2:$F$109,MATCH(40,'All products'!$Q$2:$Q$109,0))&amp;"","")</f>
        <v/>
      </c>
      <c r="G45">
        <f>IFERROR(INDEX('All products'!$G$2:$G$109,MATCH(40,'All products'!$Q$2:$Q$109,0))&amp;"","")</f>
        <v/>
      </c>
      <c r="H45">
        <f>IFERROR(INDEX('All products'!$H$2:$H$109,MATCH(40,'All products'!$Q$2:$Q$109,0))&amp;"","")</f>
        <v/>
      </c>
      <c r="I45">
        <f>IFERROR(INDEX('All products'!$I$2:$I$109,MATCH(40,'All products'!$Q$2:$Q$109,0))&amp;"","")</f>
        <v/>
      </c>
      <c r="J45">
        <f>IFERROR(INDEX('All products'!$J$2:$J$109,MATCH(40,'All products'!$Q$2:$Q$109,0))&amp;"","")</f>
        <v/>
      </c>
      <c r="K45">
        <f>IFERROR(INDEX('All products'!$K$2:$K$109,MATCH(40,'All products'!$Q$2:$Q$109,0))&amp;"","")</f>
        <v/>
      </c>
      <c r="L45">
        <f>IFERROR(INDEX('All products'!$L$2:$L$109,MATCH(40,'All products'!$Q$2:$Q$109,0))&amp;"","")</f>
        <v/>
      </c>
      <c r="M45">
        <f>IFERROR(INDEX('All products'!$M$2:$M$109,MATCH(40,'All products'!$Q$2:$Q$109,0))&amp;"","")</f>
        <v/>
      </c>
      <c r="N45">
        <f>IFERROR(INDEX('All products'!$N$2:$N$109,MATCH(40,'All products'!$Q$2:$Q$109,0))&amp;"","")</f>
        <v/>
      </c>
      <c r="O45">
        <f>IFERROR(HYPERLINK(INDEX('All products'!$O$2:$O$109,MATCH(40,'All products'!$Q$2:$Q$109,0))),"")</f>
        <v/>
      </c>
    </row>
    <row r="46">
      <c r="A46">
        <f>IFERROR(INDEX('All products'!$A$2:$A$109,MATCH(41,'All products'!$Q$2:$Q$109,0))&amp;"","")</f>
        <v/>
      </c>
      <c r="B46">
        <f>IFERROR(INDEX('All products'!$B$2:$B$109,MATCH(41,'All products'!$Q$2:$Q$109,0))&amp;"","")</f>
        <v/>
      </c>
      <c r="C46">
        <f>IFERROR(INDEX('All products'!$C$2:$C$109,MATCH(41,'All products'!$Q$2:$Q$109,0))&amp;"","")</f>
        <v/>
      </c>
      <c r="D46">
        <f>IFERROR(INDEX('All products'!$D$2:$D$109,MATCH(41,'All products'!$Q$2:$Q$109,0))&amp;"","")</f>
        <v/>
      </c>
      <c r="E46">
        <f>IFERROR(INDEX('All products'!$E$2:$E$109,MATCH(41,'All products'!$Q$2:$Q$109,0))&amp;"","")</f>
        <v/>
      </c>
      <c r="F46">
        <f>IFERROR(INDEX('All products'!$F$2:$F$109,MATCH(41,'All products'!$Q$2:$Q$109,0))&amp;"","")</f>
        <v/>
      </c>
      <c r="G46">
        <f>IFERROR(INDEX('All products'!$G$2:$G$109,MATCH(41,'All products'!$Q$2:$Q$109,0))&amp;"","")</f>
        <v/>
      </c>
      <c r="H46">
        <f>IFERROR(INDEX('All products'!$H$2:$H$109,MATCH(41,'All products'!$Q$2:$Q$109,0))&amp;"","")</f>
        <v/>
      </c>
      <c r="I46">
        <f>IFERROR(INDEX('All products'!$I$2:$I$109,MATCH(41,'All products'!$Q$2:$Q$109,0))&amp;"","")</f>
        <v/>
      </c>
      <c r="J46">
        <f>IFERROR(INDEX('All products'!$J$2:$J$109,MATCH(41,'All products'!$Q$2:$Q$109,0))&amp;"","")</f>
        <v/>
      </c>
      <c r="K46">
        <f>IFERROR(INDEX('All products'!$K$2:$K$109,MATCH(41,'All products'!$Q$2:$Q$109,0))&amp;"","")</f>
        <v/>
      </c>
      <c r="L46">
        <f>IFERROR(INDEX('All products'!$L$2:$L$109,MATCH(41,'All products'!$Q$2:$Q$109,0))&amp;"","")</f>
        <v/>
      </c>
      <c r="M46">
        <f>IFERROR(INDEX('All products'!$M$2:$M$109,MATCH(41,'All products'!$Q$2:$Q$109,0))&amp;"","")</f>
        <v/>
      </c>
      <c r="N46">
        <f>IFERROR(INDEX('All products'!$N$2:$N$109,MATCH(41,'All products'!$Q$2:$Q$109,0))&amp;"","")</f>
        <v/>
      </c>
      <c r="O46">
        <f>IFERROR(HYPERLINK(INDEX('All products'!$O$2:$O$109,MATCH(41,'All products'!$Q$2:$Q$109,0))),"")</f>
        <v/>
      </c>
    </row>
    <row r="47">
      <c r="A47">
        <f>IFERROR(INDEX('All products'!$A$2:$A$109,MATCH(42,'All products'!$Q$2:$Q$109,0))&amp;"","")</f>
        <v/>
      </c>
      <c r="B47">
        <f>IFERROR(INDEX('All products'!$B$2:$B$109,MATCH(42,'All products'!$Q$2:$Q$109,0))&amp;"","")</f>
        <v/>
      </c>
      <c r="C47">
        <f>IFERROR(INDEX('All products'!$C$2:$C$109,MATCH(42,'All products'!$Q$2:$Q$109,0))&amp;"","")</f>
        <v/>
      </c>
      <c r="D47">
        <f>IFERROR(INDEX('All products'!$D$2:$D$109,MATCH(42,'All products'!$Q$2:$Q$109,0))&amp;"","")</f>
        <v/>
      </c>
      <c r="E47">
        <f>IFERROR(INDEX('All products'!$E$2:$E$109,MATCH(42,'All products'!$Q$2:$Q$109,0))&amp;"","")</f>
        <v/>
      </c>
      <c r="F47">
        <f>IFERROR(INDEX('All products'!$F$2:$F$109,MATCH(42,'All products'!$Q$2:$Q$109,0))&amp;"","")</f>
        <v/>
      </c>
      <c r="G47">
        <f>IFERROR(INDEX('All products'!$G$2:$G$109,MATCH(42,'All products'!$Q$2:$Q$109,0))&amp;"","")</f>
        <v/>
      </c>
      <c r="H47">
        <f>IFERROR(INDEX('All products'!$H$2:$H$109,MATCH(42,'All products'!$Q$2:$Q$109,0))&amp;"","")</f>
        <v/>
      </c>
      <c r="I47">
        <f>IFERROR(INDEX('All products'!$I$2:$I$109,MATCH(42,'All products'!$Q$2:$Q$109,0))&amp;"","")</f>
        <v/>
      </c>
      <c r="J47">
        <f>IFERROR(INDEX('All products'!$J$2:$J$109,MATCH(42,'All products'!$Q$2:$Q$109,0))&amp;"","")</f>
        <v/>
      </c>
      <c r="K47">
        <f>IFERROR(INDEX('All products'!$K$2:$K$109,MATCH(42,'All products'!$Q$2:$Q$109,0))&amp;"","")</f>
        <v/>
      </c>
      <c r="L47">
        <f>IFERROR(INDEX('All products'!$L$2:$L$109,MATCH(42,'All products'!$Q$2:$Q$109,0))&amp;"","")</f>
        <v/>
      </c>
      <c r="M47">
        <f>IFERROR(INDEX('All products'!$M$2:$M$109,MATCH(42,'All products'!$Q$2:$Q$109,0))&amp;"","")</f>
        <v/>
      </c>
      <c r="N47">
        <f>IFERROR(INDEX('All products'!$N$2:$N$109,MATCH(42,'All products'!$Q$2:$Q$109,0))&amp;"","")</f>
        <v/>
      </c>
      <c r="O47">
        <f>IFERROR(HYPERLINK(INDEX('All products'!$O$2:$O$109,MATCH(42,'All products'!$Q$2:$Q$109,0))),"")</f>
        <v/>
      </c>
    </row>
    <row r="48">
      <c r="A48">
        <f>IFERROR(INDEX('All products'!$A$2:$A$109,MATCH(43,'All products'!$Q$2:$Q$109,0))&amp;"","")</f>
        <v/>
      </c>
      <c r="B48">
        <f>IFERROR(INDEX('All products'!$B$2:$B$109,MATCH(43,'All products'!$Q$2:$Q$109,0))&amp;"","")</f>
        <v/>
      </c>
      <c r="C48">
        <f>IFERROR(INDEX('All products'!$C$2:$C$109,MATCH(43,'All products'!$Q$2:$Q$109,0))&amp;"","")</f>
        <v/>
      </c>
      <c r="D48">
        <f>IFERROR(INDEX('All products'!$D$2:$D$109,MATCH(43,'All products'!$Q$2:$Q$109,0))&amp;"","")</f>
        <v/>
      </c>
      <c r="E48">
        <f>IFERROR(INDEX('All products'!$E$2:$E$109,MATCH(43,'All products'!$Q$2:$Q$109,0))&amp;"","")</f>
        <v/>
      </c>
      <c r="F48">
        <f>IFERROR(INDEX('All products'!$F$2:$F$109,MATCH(43,'All products'!$Q$2:$Q$109,0))&amp;"","")</f>
        <v/>
      </c>
      <c r="G48">
        <f>IFERROR(INDEX('All products'!$G$2:$G$109,MATCH(43,'All products'!$Q$2:$Q$109,0))&amp;"","")</f>
        <v/>
      </c>
      <c r="H48">
        <f>IFERROR(INDEX('All products'!$H$2:$H$109,MATCH(43,'All products'!$Q$2:$Q$109,0))&amp;"","")</f>
        <v/>
      </c>
      <c r="I48">
        <f>IFERROR(INDEX('All products'!$I$2:$I$109,MATCH(43,'All products'!$Q$2:$Q$109,0))&amp;"","")</f>
        <v/>
      </c>
      <c r="J48">
        <f>IFERROR(INDEX('All products'!$J$2:$J$109,MATCH(43,'All products'!$Q$2:$Q$109,0))&amp;"","")</f>
        <v/>
      </c>
      <c r="K48">
        <f>IFERROR(INDEX('All products'!$K$2:$K$109,MATCH(43,'All products'!$Q$2:$Q$109,0))&amp;"","")</f>
        <v/>
      </c>
      <c r="L48">
        <f>IFERROR(INDEX('All products'!$L$2:$L$109,MATCH(43,'All products'!$Q$2:$Q$109,0))&amp;"","")</f>
        <v/>
      </c>
      <c r="M48">
        <f>IFERROR(INDEX('All products'!$M$2:$M$109,MATCH(43,'All products'!$Q$2:$Q$109,0))&amp;"","")</f>
        <v/>
      </c>
      <c r="N48">
        <f>IFERROR(INDEX('All products'!$N$2:$N$109,MATCH(43,'All products'!$Q$2:$Q$109,0))&amp;"","")</f>
        <v/>
      </c>
      <c r="O48">
        <f>IFERROR(HYPERLINK(INDEX('All products'!$O$2:$O$109,MATCH(43,'All products'!$Q$2:$Q$109,0))),"")</f>
        <v/>
      </c>
    </row>
    <row r="49">
      <c r="A49">
        <f>IFERROR(INDEX('All products'!$A$2:$A$109,MATCH(44,'All products'!$Q$2:$Q$109,0))&amp;"","")</f>
        <v/>
      </c>
      <c r="B49">
        <f>IFERROR(INDEX('All products'!$B$2:$B$109,MATCH(44,'All products'!$Q$2:$Q$109,0))&amp;"","")</f>
        <v/>
      </c>
      <c r="C49">
        <f>IFERROR(INDEX('All products'!$C$2:$C$109,MATCH(44,'All products'!$Q$2:$Q$109,0))&amp;"","")</f>
        <v/>
      </c>
      <c r="D49">
        <f>IFERROR(INDEX('All products'!$D$2:$D$109,MATCH(44,'All products'!$Q$2:$Q$109,0))&amp;"","")</f>
        <v/>
      </c>
      <c r="E49">
        <f>IFERROR(INDEX('All products'!$E$2:$E$109,MATCH(44,'All products'!$Q$2:$Q$109,0))&amp;"","")</f>
        <v/>
      </c>
      <c r="F49">
        <f>IFERROR(INDEX('All products'!$F$2:$F$109,MATCH(44,'All products'!$Q$2:$Q$109,0))&amp;"","")</f>
        <v/>
      </c>
      <c r="G49">
        <f>IFERROR(INDEX('All products'!$G$2:$G$109,MATCH(44,'All products'!$Q$2:$Q$109,0))&amp;"","")</f>
        <v/>
      </c>
      <c r="H49">
        <f>IFERROR(INDEX('All products'!$H$2:$H$109,MATCH(44,'All products'!$Q$2:$Q$109,0))&amp;"","")</f>
        <v/>
      </c>
      <c r="I49">
        <f>IFERROR(INDEX('All products'!$I$2:$I$109,MATCH(44,'All products'!$Q$2:$Q$109,0))&amp;"","")</f>
        <v/>
      </c>
      <c r="J49">
        <f>IFERROR(INDEX('All products'!$J$2:$J$109,MATCH(44,'All products'!$Q$2:$Q$109,0))&amp;"","")</f>
        <v/>
      </c>
      <c r="K49">
        <f>IFERROR(INDEX('All products'!$K$2:$K$109,MATCH(44,'All products'!$Q$2:$Q$109,0))&amp;"","")</f>
        <v/>
      </c>
      <c r="L49">
        <f>IFERROR(INDEX('All products'!$L$2:$L$109,MATCH(44,'All products'!$Q$2:$Q$109,0))&amp;"","")</f>
        <v/>
      </c>
      <c r="M49">
        <f>IFERROR(INDEX('All products'!$M$2:$M$109,MATCH(44,'All products'!$Q$2:$Q$109,0))&amp;"","")</f>
        <v/>
      </c>
      <c r="N49">
        <f>IFERROR(INDEX('All products'!$N$2:$N$109,MATCH(44,'All products'!$Q$2:$Q$109,0))&amp;"","")</f>
        <v/>
      </c>
      <c r="O49">
        <f>IFERROR(HYPERLINK(INDEX('All products'!$O$2:$O$109,MATCH(44,'All products'!$Q$2:$Q$109,0))),"")</f>
        <v/>
      </c>
    </row>
    <row r="50">
      <c r="A50">
        <f>IFERROR(INDEX('All products'!$A$2:$A$109,MATCH(45,'All products'!$Q$2:$Q$109,0))&amp;"","")</f>
        <v/>
      </c>
      <c r="B50">
        <f>IFERROR(INDEX('All products'!$B$2:$B$109,MATCH(45,'All products'!$Q$2:$Q$109,0))&amp;"","")</f>
        <v/>
      </c>
      <c r="C50">
        <f>IFERROR(INDEX('All products'!$C$2:$C$109,MATCH(45,'All products'!$Q$2:$Q$109,0))&amp;"","")</f>
        <v/>
      </c>
      <c r="D50">
        <f>IFERROR(INDEX('All products'!$D$2:$D$109,MATCH(45,'All products'!$Q$2:$Q$109,0))&amp;"","")</f>
        <v/>
      </c>
      <c r="E50">
        <f>IFERROR(INDEX('All products'!$E$2:$E$109,MATCH(45,'All products'!$Q$2:$Q$109,0))&amp;"","")</f>
        <v/>
      </c>
      <c r="F50">
        <f>IFERROR(INDEX('All products'!$F$2:$F$109,MATCH(45,'All products'!$Q$2:$Q$109,0))&amp;"","")</f>
        <v/>
      </c>
      <c r="G50">
        <f>IFERROR(INDEX('All products'!$G$2:$G$109,MATCH(45,'All products'!$Q$2:$Q$109,0))&amp;"","")</f>
        <v/>
      </c>
      <c r="H50">
        <f>IFERROR(INDEX('All products'!$H$2:$H$109,MATCH(45,'All products'!$Q$2:$Q$109,0))&amp;"","")</f>
        <v/>
      </c>
      <c r="I50">
        <f>IFERROR(INDEX('All products'!$I$2:$I$109,MATCH(45,'All products'!$Q$2:$Q$109,0))&amp;"","")</f>
        <v/>
      </c>
      <c r="J50">
        <f>IFERROR(INDEX('All products'!$J$2:$J$109,MATCH(45,'All products'!$Q$2:$Q$109,0))&amp;"","")</f>
        <v/>
      </c>
      <c r="K50">
        <f>IFERROR(INDEX('All products'!$K$2:$K$109,MATCH(45,'All products'!$Q$2:$Q$109,0))&amp;"","")</f>
        <v/>
      </c>
      <c r="L50">
        <f>IFERROR(INDEX('All products'!$L$2:$L$109,MATCH(45,'All products'!$Q$2:$Q$109,0))&amp;"","")</f>
        <v/>
      </c>
      <c r="M50">
        <f>IFERROR(INDEX('All products'!$M$2:$M$109,MATCH(45,'All products'!$Q$2:$Q$109,0))&amp;"","")</f>
        <v/>
      </c>
      <c r="N50">
        <f>IFERROR(INDEX('All products'!$N$2:$N$109,MATCH(45,'All products'!$Q$2:$Q$109,0))&amp;"","")</f>
        <v/>
      </c>
      <c r="O50">
        <f>IFERROR(HYPERLINK(INDEX('All products'!$O$2:$O$109,MATCH(45,'All products'!$Q$2:$Q$109,0))),"")</f>
        <v/>
      </c>
    </row>
    <row r="51">
      <c r="A51">
        <f>IFERROR(INDEX('All products'!$A$2:$A$109,MATCH(46,'All products'!$Q$2:$Q$109,0))&amp;"","")</f>
        <v/>
      </c>
      <c r="B51">
        <f>IFERROR(INDEX('All products'!$B$2:$B$109,MATCH(46,'All products'!$Q$2:$Q$109,0))&amp;"","")</f>
        <v/>
      </c>
      <c r="C51">
        <f>IFERROR(INDEX('All products'!$C$2:$C$109,MATCH(46,'All products'!$Q$2:$Q$109,0))&amp;"","")</f>
        <v/>
      </c>
      <c r="D51">
        <f>IFERROR(INDEX('All products'!$D$2:$D$109,MATCH(46,'All products'!$Q$2:$Q$109,0))&amp;"","")</f>
        <v/>
      </c>
      <c r="E51">
        <f>IFERROR(INDEX('All products'!$E$2:$E$109,MATCH(46,'All products'!$Q$2:$Q$109,0))&amp;"","")</f>
        <v/>
      </c>
      <c r="F51">
        <f>IFERROR(INDEX('All products'!$F$2:$F$109,MATCH(46,'All products'!$Q$2:$Q$109,0))&amp;"","")</f>
        <v/>
      </c>
      <c r="G51">
        <f>IFERROR(INDEX('All products'!$G$2:$G$109,MATCH(46,'All products'!$Q$2:$Q$109,0))&amp;"","")</f>
        <v/>
      </c>
      <c r="H51">
        <f>IFERROR(INDEX('All products'!$H$2:$H$109,MATCH(46,'All products'!$Q$2:$Q$109,0))&amp;"","")</f>
        <v/>
      </c>
      <c r="I51">
        <f>IFERROR(INDEX('All products'!$I$2:$I$109,MATCH(46,'All products'!$Q$2:$Q$109,0))&amp;"","")</f>
        <v/>
      </c>
      <c r="J51">
        <f>IFERROR(INDEX('All products'!$J$2:$J$109,MATCH(46,'All products'!$Q$2:$Q$109,0))&amp;"","")</f>
        <v/>
      </c>
      <c r="K51">
        <f>IFERROR(INDEX('All products'!$K$2:$K$109,MATCH(46,'All products'!$Q$2:$Q$109,0))&amp;"","")</f>
        <v/>
      </c>
      <c r="L51">
        <f>IFERROR(INDEX('All products'!$L$2:$L$109,MATCH(46,'All products'!$Q$2:$Q$109,0))&amp;"","")</f>
        <v/>
      </c>
      <c r="M51">
        <f>IFERROR(INDEX('All products'!$M$2:$M$109,MATCH(46,'All products'!$Q$2:$Q$109,0))&amp;"","")</f>
        <v/>
      </c>
      <c r="N51">
        <f>IFERROR(INDEX('All products'!$N$2:$N$109,MATCH(46,'All products'!$Q$2:$Q$109,0))&amp;"","")</f>
        <v/>
      </c>
      <c r="O51">
        <f>IFERROR(HYPERLINK(INDEX('All products'!$O$2:$O$109,MATCH(46,'All products'!$Q$2:$Q$109,0))),"")</f>
        <v/>
      </c>
    </row>
    <row r="52">
      <c r="A52">
        <f>IFERROR(INDEX('All products'!$A$2:$A$109,MATCH(47,'All products'!$Q$2:$Q$109,0))&amp;"","")</f>
        <v/>
      </c>
      <c r="B52">
        <f>IFERROR(INDEX('All products'!$B$2:$B$109,MATCH(47,'All products'!$Q$2:$Q$109,0))&amp;"","")</f>
        <v/>
      </c>
      <c r="C52">
        <f>IFERROR(INDEX('All products'!$C$2:$C$109,MATCH(47,'All products'!$Q$2:$Q$109,0))&amp;"","")</f>
        <v/>
      </c>
      <c r="D52">
        <f>IFERROR(INDEX('All products'!$D$2:$D$109,MATCH(47,'All products'!$Q$2:$Q$109,0))&amp;"","")</f>
        <v/>
      </c>
      <c r="E52">
        <f>IFERROR(INDEX('All products'!$E$2:$E$109,MATCH(47,'All products'!$Q$2:$Q$109,0))&amp;"","")</f>
        <v/>
      </c>
      <c r="F52">
        <f>IFERROR(INDEX('All products'!$F$2:$F$109,MATCH(47,'All products'!$Q$2:$Q$109,0))&amp;"","")</f>
        <v/>
      </c>
      <c r="G52">
        <f>IFERROR(INDEX('All products'!$G$2:$G$109,MATCH(47,'All products'!$Q$2:$Q$109,0))&amp;"","")</f>
        <v/>
      </c>
      <c r="H52">
        <f>IFERROR(INDEX('All products'!$H$2:$H$109,MATCH(47,'All products'!$Q$2:$Q$109,0))&amp;"","")</f>
        <v/>
      </c>
      <c r="I52">
        <f>IFERROR(INDEX('All products'!$I$2:$I$109,MATCH(47,'All products'!$Q$2:$Q$109,0))&amp;"","")</f>
        <v/>
      </c>
      <c r="J52">
        <f>IFERROR(INDEX('All products'!$J$2:$J$109,MATCH(47,'All products'!$Q$2:$Q$109,0))&amp;"","")</f>
        <v/>
      </c>
      <c r="K52">
        <f>IFERROR(INDEX('All products'!$K$2:$K$109,MATCH(47,'All products'!$Q$2:$Q$109,0))&amp;"","")</f>
        <v/>
      </c>
      <c r="L52">
        <f>IFERROR(INDEX('All products'!$L$2:$L$109,MATCH(47,'All products'!$Q$2:$Q$109,0))&amp;"","")</f>
        <v/>
      </c>
      <c r="M52">
        <f>IFERROR(INDEX('All products'!$M$2:$M$109,MATCH(47,'All products'!$Q$2:$Q$109,0))&amp;"","")</f>
        <v/>
      </c>
      <c r="N52">
        <f>IFERROR(INDEX('All products'!$N$2:$N$109,MATCH(47,'All products'!$Q$2:$Q$109,0))&amp;"","")</f>
        <v/>
      </c>
      <c r="O52">
        <f>IFERROR(HYPERLINK(INDEX('All products'!$O$2:$O$109,MATCH(47,'All products'!$Q$2:$Q$109,0))),"")</f>
        <v/>
      </c>
    </row>
    <row r="53">
      <c r="A53">
        <f>IFERROR(INDEX('All products'!$A$2:$A$109,MATCH(48,'All products'!$Q$2:$Q$109,0))&amp;"","")</f>
        <v/>
      </c>
      <c r="B53">
        <f>IFERROR(INDEX('All products'!$B$2:$B$109,MATCH(48,'All products'!$Q$2:$Q$109,0))&amp;"","")</f>
        <v/>
      </c>
      <c r="C53">
        <f>IFERROR(INDEX('All products'!$C$2:$C$109,MATCH(48,'All products'!$Q$2:$Q$109,0))&amp;"","")</f>
        <v/>
      </c>
      <c r="D53">
        <f>IFERROR(INDEX('All products'!$D$2:$D$109,MATCH(48,'All products'!$Q$2:$Q$109,0))&amp;"","")</f>
        <v/>
      </c>
      <c r="E53">
        <f>IFERROR(INDEX('All products'!$E$2:$E$109,MATCH(48,'All products'!$Q$2:$Q$109,0))&amp;"","")</f>
        <v/>
      </c>
      <c r="F53">
        <f>IFERROR(INDEX('All products'!$F$2:$F$109,MATCH(48,'All products'!$Q$2:$Q$109,0))&amp;"","")</f>
        <v/>
      </c>
      <c r="G53">
        <f>IFERROR(INDEX('All products'!$G$2:$G$109,MATCH(48,'All products'!$Q$2:$Q$109,0))&amp;"","")</f>
        <v/>
      </c>
      <c r="H53">
        <f>IFERROR(INDEX('All products'!$H$2:$H$109,MATCH(48,'All products'!$Q$2:$Q$109,0))&amp;"","")</f>
        <v/>
      </c>
      <c r="I53">
        <f>IFERROR(INDEX('All products'!$I$2:$I$109,MATCH(48,'All products'!$Q$2:$Q$109,0))&amp;"","")</f>
        <v/>
      </c>
      <c r="J53">
        <f>IFERROR(INDEX('All products'!$J$2:$J$109,MATCH(48,'All products'!$Q$2:$Q$109,0))&amp;"","")</f>
        <v/>
      </c>
      <c r="K53">
        <f>IFERROR(INDEX('All products'!$K$2:$K$109,MATCH(48,'All products'!$Q$2:$Q$109,0))&amp;"","")</f>
        <v/>
      </c>
      <c r="L53">
        <f>IFERROR(INDEX('All products'!$L$2:$L$109,MATCH(48,'All products'!$Q$2:$Q$109,0))&amp;"","")</f>
        <v/>
      </c>
      <c r="M53">
        <f>IFERROR(INDEX('All products'!$M$2:$M$109,MATCH(48,'All products'!$Q$2:$Q$109,0))&amp;"","")</f>
        <v/>
      </c>
      <c r="N53">
        <f>IFERROR(INDEX('All products'!$N$2:$N$109,MATCH(48,'All products'!$Q$2:$Q$109,0))&amp;"","")</f>
        <v/>
      </c>
      <c r="O53">
        <f>IFERROR(HYPERLINK(INDEX('All products'!$O$2:$O$109,MATCH(48,'All products'!$Q$2:$Q$109,0))),"")</f>
        <v/>
      </c>
    </row>
    <row r="54">
      <c r="A54">
        <f>IFERROR(INDEX('All products'!$A$2:$A$109,MATCH(49,'All products'!$Q$2:$Q$109,0))&amp;"","")</f>
        <v/>
      </c>
      <c r="B54">
        <f>IFERROR(INDEX('All products'!$B$2:$B$109,MATCH(49,'All products'!$Q$2:$Q$109,0))&amp;"","")</f>
        <v/>
      </c>
      <c r="C54">
        <f>IFERROR(INDEX('All products'!$C$2:$C$109,MATCH(49,'All products'!$Q$2:$Q$109,0))&amp;"","")</f>
        <v/>
      </c>
      <c r="D54">
        <f>IFERROR(INDEX('All products'!$D$2:$D$109,MATCH(49,'All products'!$Q$2:$Q$109,0))&amp;"","")</f>
        <v/>
      </c>
      <c r="E54">
        <f>IFERROR(INDEX('All products'!$E$2:$E$109,MATCH(49,'All products'!$Q$2:$Q$109,0))&amp;"","")</f>
        <v/>
      </c>
      <c r="F54">
        <f>IFERROR(INDEX('All products'!$F$2:$F$109,MATCH(49,'All products'!$Q$2:$Q$109,0))&amp;"","")</f>
        <v/>
      </c>
      <c r="G54">
        <f>IFERROR(INDEX('All products'!$G$2:$G$109,MATCH(49,'All products'!$Q$2:$Q$109,0))&amp;"","")</f>
        <v/>
      </c>
      <c r="H54">
        <f>IFERROR(INDEX('All products'!$H$2:$H$109,MATCH(49,'All products'!$Q$2:$Q$109,0))&amp;"","")</f>
        <v/>
      </c>
      <c r="I54">
        <f>IFERROR(INDEX('All products'!$I$2:$I$109,MATCH(49,'All products'!$Q$2:$Q$109,0))&amp;"","")</f>
        <v/>
      </c>
      <c r="J54">
        <f>IFERROR(INDEX('All products'!$J$2:$J$109,MATCH(49,'All products'!$Q$2:$Q$109,0))&amp;"","")</f>
        <v/>
      </c>
      <c r="K54">
        <f>IFERROR(INDEX('All products'!$K$2:$K$109,MATCH(49,'All products'!$Q$2:$Q$109,0))&amp;"","")</f>
        <v/>
      </c>
      <c r="L54">
        <f>IFERROR(INDEX('All products'!$L$2:$L$109,MATCH(49,'All products'!$Q$2:$Q$109,0))&amp;"","")</f>
        <v/>
      </c>
      <c r="M54">
        <f>IFERROR(INDEX('All products'!$M$2:$M$109,MATCH(49,'All products'!$Q$2:$Q$109,0))&amp;"","")</f>
        <v/>
      </c>
      <c r="N54">
        <f>IFERROR(INDEX('All products'!$N$2:$N$109,MATCH(49,'All products'!$Q$2:$Q$109,0))&amp;"","")</f>
        <v/>
      </c>
      <c r="O54">
        <f>IFERROR(HYPERLINK(INDEX('All products'!$O$2:$O$109,MATCH(49,'All products'!$Q$2:$Q$109,0))),"")</f>
        <v/>
      </c>
    </row>
    <row r="55">
      <c r="A55">
        <f>IFERROR(INDEX('All products'!$A$2:$A$109,MATCH(50,'All products'!$Q$2:$Q$109,0))&amp;"","")</f>
        <v/>
      </c>
      <c r="B55">
        <f>IFERROR(INDEX('All products'!$B$2:$B$109,MATCH(50,'All products'!$Q$2:$Q$109,0))&amp;"","")</f>
        <v/>
      </c>
      <c r="C55">
        <f>IFERROR(INDEX('All products'!$C$2:$C$109,MATCH(50,'All products'!$Q$2:$Q$109,0))&amp;"","")</f>
        <v/>
      </c>
      <c r="D55">
        <f>IFERROR(INDEX('All products'!$D$2:$D$109,MATCH(50,'All products'!$Q$2:$Q$109,0))&amp;"","")</f>
        <v/>
      </c>
      <c r="E55">
        <f>IFERROR(INDEX('All products'!$E$2:$E$109,MATCH(50,'All products'!$Q$2:$Q$109,0))&amp;"","")</f>
        <v/>
      </c>
      <c r="F55">
        <f>IFERROR(INDEX('All products'!$F$2:$F$109,MATCH(50,'All products'!$Q$2:$Q$109,0))&amp;"","")</f>
        <v/>
      </c>
      <c r="G55">
        <f>IFERROR(INDEX('All products'!$G$2:$G$109,MATCH(50,'All products'!$Q$2:$Q$109,0))&amp;"","")</f>
        <v/>
      </c>
      <c r="H55">
        <f>IFERROR(INDEX('All products'!$H$2:$H$109,MATCH(50,'All products'!$Q$2:$Q$109,0))&amp;"","")</f>
        <v/>
      </c>
      <c r="I55">
        <f>IFERROR(INDEX('All products'!$I$2:$I$109,MATCH(50,'All products'!$Q$2:$Q$109,0))&amp;"","")</f>
        <v/>
      </c>
      <c r="J55">
        <f>IFERROR(INDEX('All products'!$J$2:$J$109,MATCH(50,'All products'!$Q$2:$Q$109,0))&amp;"","")</f>
        <v/>
      </c>
      <c r="K55">
        <f>IFERROR(INDEX('All products'!$K$2:$K$109,MATCH(50,'All products'!$Q$2:$Q$109,0))&amp;"","")</f>
        <v/>
      </c>
      <c r="L55">
        <f>IFERROR(INDEX('All products'!$L$2:$L$109,MATCH(50,'All products'!$Q$2:$Q$109,0))&amp;"","")</f>
        <v/>
      </c>
      <c r="M55">
        <f>IFERROR(INDEX('All products'!$M$2:$M$109,MATCH(50,'All products'!$Q$2:$Q$109,0))&amp;"","")</f>
        <v/>
      </c>
      <c r="N55">
        <f>IFERROR(INDEX('All products'!$N$2:$N$109,MATCH(50,'All products'!$Q$2:$Q$109,0))&amp;"","")</f>
        <v/>
      </c>
      <c r="O55">
        <f>IFERROR(HYPERLINK(INDEX('All products'!$O$2:$O$109,MATCH(50,'All products'!$Q$2:$Q$109,0))),"")</f>
        <v/>
      </c>
    </row>
    <row r="56">
      <c r="A56">
        <f>IFERROR(INDEX('All products'!$A$2:$A$109,MATCH(51,'All products'!$Q$2:$Q$109,0))&amp;"","")</f>
        <v/>
      </c>
      <c r="B56">
        <f>IFERROR(INDEX('All products'!$B$2:$B$109,MATCH(51,'All products'!$Q$2:$Q$109,0))&amp;"","")</f>
        <v/>
      </c>
      <c r="C56">
        <f>IFERROR(INDEX('All products'!$C$2:$C$109,MATCH(51,'All products'!$Q$2:$Q$109,0))&amp;"","")</f>
        <v/>
      </c>
      <c r="D56">
        <f>IFERROR(INDEX('All products'!$D$2:$D$109,MATCH(51,'All products'!$Q$2:$Q$109,0))&amp;"","")</f>
        <v/>
      </c>
      <c r="E56">
        <f>IFERROR(INDEX('All products'!$E$2:$E$109,MATCH(51,'All products'!$Q$2:$Q$109,0))&amp;"","")</f>
        <v/>
      </c>
      <c r="F56">
        <f>IFERROR(INDEX('All products'!$F$2:$F$109,MATCH(51,'All products'!$Q$2:$Q$109,0))&amp;"","")</f>
        <v/>
      </c>
      <c r="G56">
        <f>IFERROR(INDEX('All products'!$G$2:$G$109,MATCH(51,'All products'!$Q$2:$Q$109,0))&amp;"","")</f>
        <v/>
      </c>
      <c r="H56">
        <f>IFERROR(INDEX('All products'!$H$2:$H$109,MATCH(51,'All products'!$Q$2:$Q$109,0))&amp;"","")</f>
        <v/>
      </c>
      <c r="I56">
        <f>IFERROR(INDEX('All products'!$I$2:$I$109,MATCH(51,'All products'!$Q$2:$Q$109,0))&amp;"","")</f>
        <v/>
      </c>
      <c r="J56">
        <f>IFERROR(INDEX('All products'!$J$2:$J$109,MATCH(51,'All products'!$Q$2:$Q$109,0))&amp;"","")</f>
        <v/>
      </c>
      <c r="K56">
        <f>IFERROR(INDEX('All products'!$K$2:$K$109,MATCH(51,'All products'!$Q$2:$Q$109,0))&amp;"","")</f>
        <v/>
      </c>
      <c r="L56">
        <f>IFERROR(INDEX('All products'!$L$2:$L$109,MATCH(51,'All products'!$Q$2:$Q$109,0))&amp;"","")</f>
        <v/>
      </c>
      <c r="M56">
        <f>IFERROR(INDEX('All products'!$M$2:$M$109,MATCH(51,'All products'!$Q$2:$Q$109,0))&amp;"","")</f>
        <v/>
      </c>
      <c r="N56">
        <f>IFERROR(INDEX('All products'!$N$2:$N$109,MATCH(51,'All products'!$Q$2:$Q$109,0))&amp;"","")</f>
        <v/>
      </c>
      <c r="O56">
        <f>IFERROR(HYPERLINK(INDEX('All products'!$O$2:$O$109,MATCH(51,'All products'!$Q$2:$Q$109,0))),"")</f>
        <v/>
      </c>
    </row>
    <row r="57">
      <c r="A57">
        <f>IFERROR(INDEX('All products'!$A$2:$A$109,MATCH(52,'All products'!$Q$2:$Q$109,0))&amp;"","")</f>
        <v/>
      </c>
      <c r="B57">
        <f>IFERROR(INDEX('All products'!$B$2:$B$109,MATCH(52,'All products'!$Q$2:$Q$109,0))&amp;"","")</f>
        <v/>
      </c>
      <c r="C57">
        <f>IFERROR(INDEX('All products'!$C$2:$C$109,MATCH(52,'All products'!$Q$2:$Q$109,0))&amp;"","")</f>
        <v/>
      </c>
      <c r="D57">
        <f>IFERROR(INDEX('All products'!$D$2:$D$109,MATCH(52,'All products'!$Q$2:$Q$109,0))&amp;"","")</f>
        <v/>
      </c>
      <c r="E57">
        <f>IFERROR(INDEX('All products'!$E$2:$E$109,MATCH(52,'All products'!$Q$2:$Q$109,0))&amp;"","")</f>
        <v/>
      </c>
      <c r="F57">
        <f>IFERROR(INDEX('All products'!$F$2:$F$109,MATCH(52,'All products'!$Q$2:$Q$109,0))&amp;"","")</f>
        <v/>
      </c>
      <c r="G57">
        <f>IFERROR(INDEX('All products'!$G$2:$G$109,MATCH(52,'All products'!$Q$2:$Q$109,0))&amp;"","")</f>
        <v/>
      </c>
      <c r="H57">
        <f>IFERROR(INDEX('All products'!$H$2:$H$109,MATCH(52,'All products'!$Q$2:$Q$109,0))&amp;"","")</f>
        <v/>
      </c>
      <c r="I57">
        <f>IFERROR(INDEX('All products'!$I$2:$I$109,MATCH(52,'All products'!$Q$2:$Q$109,0))&amp;"","")</f>
        <v/>
      </c>
      <c r="J57">
        <f>IFERROR(INDEX('All products'!$J$2:$J$109,MATCH(52,'All products'!$Q$2:$Q$109,0))&amp;"","")</f>
        <v/>
      </c>
      <c r="K57">
        <f>IFERROR(INDEX('All products'!$K$2:$K$109,MATCH(52,'All products'!$Q$2:$Q$109,0))&amp;"","")</f>
        <v/>
      </c>
      <c r="L57">
        <f>IFERROR(INDEX('All products'!$L$2:$L$109,MATCH(52,'All products'!$Q$2:$Q$109,0))&amp;"","")</f>
        <v/>
      </c>
      <c r="M57">
        <f>IFERROR(INDEX('All products'!$M$2:$M$109,MATCH(52,'All products'!$Q$2:$Q$109,0))&amp;"","")</f>
        <v/>
      </c>
      <c r="N57">
        <f>IFERROR(INDEX('All products'!$N$2:$N$109,MATCH(52,'All products'!$Q$2:$Q$109,0))&amp;"","")</f>
        <v/>
      </c>
      <c r="O57">
        <f>IFERROR(HYPERLINK(INDEX('All products'!$O$2:$O$109,MATCH(52,'All products'!$Q$2:$Q$109,0))),"")</f>
        <v/>
      </c>
    </row>
    <row r="58">
      <c r="A58">
        <f>IFERROR(INDEX('All products'!$A$2:$A$109,MATCH(53,'All products'!$Q$2:$Q$109,0))&amp;"","")</f>
        <v/>
      </c>
      <c r="B58">
        <f>IFERROR(INDEX('All products'!$B$2:$B$109,MATCH(53,'All products'!$Q$2:$Q$109,0))&amp;"","")</f>
        <v/>
      </c>
      <c r="C58">
        <f>IFERROR(INDEX('All products'!$C$2:$C$109,MATCH(53,'All products'!$Q$2:$Q$109,0))&amp;"","")</f>
        <v/>
      </c>
      <c r="D58">
        <f>IFERROR(INDEX('All products'!$D$2:$D$109,MATCH(53,'All products'!$Q$2:$Q$109,0))&amp;"","")</f>
        <v/>
      </c>
      <c r="E58">
        <f>IFERROR(INDEX('All products'!$E$2:$E$109,MATCH(53,'All products'!$Q$2:$Q$109,0))&amp;"","")</f>
        <v/>
      </c>
      <c r="F58">
        <f>IFERROR(INDEX('All products'!$F$2:$F$109,MATCH(53,'All products'!$Q$2:$Q$109,0))&amp;"","")</f>
        <v/>
      </c>
      <c r="G58">
        <f>IFERROR(INDEX('All products'!$G$2:$G$109,MATCH(53,'All products'!$Q$2:$Q$109,0))&amp;"","")</f>
        <v/>
      </c>
      <c r="H58">
        <f>IFERROR(INDEX('All products'!$H$2:$H$109,MATCH(53,'All products'!$Q$2:$Q$109,0))&amp;"","")</f>
        <v/>
      </c>
      <c r="I58">
        <f>IFERROR(INDEX('All products'!$I$2:$I$109,MATCH(53,'All products'!$Q$2:$Q$109,0))&amp;"","")</f>
        <v/>
      </c>
      <c r="J58">
        <f>IFERROR(INDEX('All products'!$J$2:$J$109,MATCH(53,'All products'!$Q$2:$Q$109,0))&amp;"","")</f>
        <v/>
      </c>
      <c r="K58">
        <f>IFERROR(INDEX('All products'!$K$2:$K$109,MATCH(53,'All products'!$Q$2:$Q$109,0))&amp;"","")</f>
        <v/>
      </c>
      <c r="L58">
        <f>IFERROR(INDEX('All products'!$L$2:$L$109,MATCH(53,'All products'!$Q$2:$Q$109,0))&amp;"","")</f>
        <v/>
      </c>
      <c r="M58">
        <f>IFERROR(INDEX('All products'!$M$2:$M$109,MATCH(53,'All products'!$Q$2:$Q$109,0))&amp;"","")</f>
        <v/>
      </c>
      <c r="N58">
        <f>IFERROR(INDEX('All products'!$N$2:$N$109,MATCH(53,'All products'!$Q$2:$Q$109,0))&amp;"","")</f>
        <v/>
      </c>
      <c r="O58">
        <f>IFERROR(HYPERLINK(INDEX('All products'!$O$2:$O$109,MATCH(53,'All products'!$Q$2:$Q$109,0))),"")</f>
        <v/>
      </c>
    </row>
    <row r="59">
      <c r="A59">
        <f>IFERROR(INDEX('All products'!$A$2:$A$109,MATCH(54,'All products'!$Q$2:$Q$109,0))&amp;"","")</f>
        <v/>
      </c>
      <c r="B59">
        <f>IFERROR(INDEX('All products'!$B$2:$B$109,MATCH(54,'All products'!$Q$2:$Q$109,0))&amp;"","")</f>
        <v/>
      </c>
      <c r="C59">
        <f>IFERROR(INDEX('All products'!$C$2:$C$109,MATCH(54,'All products'!$Q$2:$Q$109,0))&amp;"","")</f>
        <v/>
      </c>
      <c r="D59">
        <f>IFERROR(INDEX('All products'!$D$2:$D$109,MATCH(54,'All products'!$Q$2:$Q$109,0))&amp;"","")</f>
        <v/>
      </c>
      <c r="E59">
        <f>IFERROR(INDEX('All products'!$E$2:$E$109,MATCH(54,'All products'!$Q$2:$Q$109,0))&amp;"","")</f>
        <v/>
      </c>
      <c r="F59">
        <f>IFERROR(INDEX('All products'!$F$2:$F$109,MATCH(54,'All products'!$Q$2:$Q$109,0))&amp;"","")</f>
        <v/>
      </c>
      <c r="G59">
        <f>IFERROR(INDEX('All products'!$G$2:$G$109,MATCH(54,'All products'!$Q$2:$Q$109,0))&amp;"","")</f>
        <v/>
      </c>
      <c r="H59">
        <f>IFERROR(INDEX('All products'!$H$2:$H$109,MATCH(54,'All products'!$Q$2:$Q$109,0))&amp;"","")</f>
        <v/>
      </c>
      <c r="I59">
        <f>IFERROR(INDEX('All products'!$I$2:$I$109,MATCH(54,'All products'!$Q$2:$Q$109,0))&amp;"","")</f>
        <v/>
      </c>
      <c r="J59">
        <f>IFERROR(INDEX('All products'!$J$2:$J$109,MATCH(54,'All products'!$Q$2:$Q$109,0))&amp;"","")</f>
        <v/>
      </c>
      <c r="K59">
        <f>IFERROR(INDEX('All products'!$K$2:$K$109,MATCH(54,'All products'!$Q$2:$Q$109,0))&amp;"","")</f>
        <v/>
      </c>
      <c r="L59">
        <f>IFERROR(INDEX('All products'!$L$2:$L$109,MATCH(54,'All products'!$Q$2:$Q$109,0))&amp;"","")</f>
        <v/>
      </c>
      <c r="M59">
        <f>IFERROR(INDEX('All products'!$M$2:$M$109,MATCH(54,'All products'!$Q$2:$Q$109,0))&amp;"","")</f>
        <v/>
      </c>
      <c r="N59">
        <f>IFERROR(INDEX('All products'!$N$2:$N$109,MATCH(54,'All products'!$Q$2:$Q$109,0))&amp;"","")</f>
        <v/>
      </c>
      <c r="O59">
        <f>IFERROR(HYPERLINK(INDEX('All products'!$O$2:$O$109,MATCH(54,'All products'!$Q$2:$Q$109,0))),"")</f>
        <v/>
      </c>
    </row>
    <row r="60">
      <c r="A60">
        <f>IFERROR(INDEX('All products'!$A$2:$A$109,MATCH(55,'All products'!$Q$2:$Q$109,0))&amp;"","")</f>
        <v/>
      </c>
      <c r="B60">
        <f>IFERROR(INDEX('All products'!$B$2:$B$109,MATCH(55,'All products'!$Q$2:$Q$109,0))&amp;"","")</f>
        <v/>
      </c>
      <c r="C60">
        <f>IFERROR(INDEX('All products'!$C$2:$C$109,MATCH(55,'All products'!$Q$2:$Q$109,0))&amp;"","")</f>
        <v/>
      </c>
      <c r="D60">
        <f>IFERROR(INDEX('All products'!$D$2:$D$109,MATCH(55,'All products'!$Q$2:$Q$109,0))&amp;"","")</f>
        <v/>
      </c>
      <c r="E60">
        <f>IFERROR(INDEX('All products'!$E$2:$E$109,MATCH(55,'All products'!$Q$2:$Q$109,0))&amp;"","")</f>
        <v/>
      </c>
      <c r="F60">
        <f>IFERROR(INDEX('All products'!$F$2:$F$109,MATCH(55,'All products'!$Q$2:$Q$109,0))&amp;"","")</f>
        <v/>
      </c>
      <c r="G60">
        <f>IFERROR(INDEX('All products'!$G$2:$G$109,MATCH(55,'All products'!$Q$2:$Q$109,0))&amp;"","")</f>
        <v/>
      </c>
      <c r="H60">
        <f>IFERROR(INDEX('All products'!$H$2:$H$109,MATCH(55,'All products'!$Q$2:$Q$109,0))&amp;"","")</f>
        <v/>
      </c>
      <c r="I60">
        <f>IFERROR(INDEX('All products'!$I$2:$I$109,MATCH(55,'All products'!$Q$2:$Q$109,0))&amp;"","")</f>
        <v/>
      </c>
      <c r="J60">
        <f>IFERROR(INDEX('All products'!$J$2:$J$109,MATCH(55,'All products'!$Q$2:$Q$109,0))&amp;"","")</f>
        <v/>
      </c>
      <c r="K60">
        <f>IFERROR(INDEX('All products'!$K$2:$K$109,MATCH(55,'All products'!$Q$2:$Q$109,0))&amp;"","")</f>
        <v/>
      </c>
      <c r="L60">
        <f>IFERROR(INDEX('All products'!$L$2:$L$109,MATCH(55,'All products'!$Q$2:$Q$109,0))&amp;"","")</f>
        <v/>
      </c>
      <c r="M60">
        <f>IFERROR(INDEX('All products'!$M$2:$M$109,MATCH(55,'All products'!$Q$2:$Q$109,0))&amp;"","")</f>
        <v/>
      </c>
      <c r="N60">
        <f>IFERROR(INDEX('All products'!$N$2:$N$109,MATCH(55,'All products'!$Q$2:$Q$109,0))&amp;"","")</f>
        <v/>
      </c>
      <c r="O60">
        <f>IFERROR(HYPERLINK(INDEX('All products'!$O$2:$O$109,MATCH(55,'All products'!$Q$2:$Q$109,0))),"")</f>
        <v/>
      </c>
    </row>
    <row r="61">
      <c r="A61">
        <f>IFERROR(INDEX('All products'!$A$2:$A$109,MATCH(56,'All products'!$Q$2:$Q$109,0))&amp;"","")</f>
        <v/>
      </c>
      <c r="B61">
        <f>IFERROR(INDEX('All products'!$B$2:$B$109,MATCH(56,'All products'!$Q$2:$Q$109,0))&amp;"","")</f>
        <v/>
      </c>
      <c r="C61">
        <f>IFERROR(INDEX('All products'!$C$2:$C$109,MATCH(56,'All products'!$Q$2:$Q$109,0))&amp;"","")</f>
        <v/>
      </c>
      <c r="D61">
        <f>IFERROR(INDEX('All products'!$D$2:$D$109,MATCH(56,'All products'!$Q$2:$Q$109,0))&amp;"","")</f>
        <v/>
      </c>
      <c r="E61">
        <f>IFERROR(INDEX('All products'!$E$2:$E$109,MATCH(56,'All products'!$Q$2:$Q$109,0))&amp;"","")</f>
        <v/>
      </c>
      <c r="F61">
        <f>IFERROR(INDEX('All products'!$F$2:$F$109,MATCH(56,'All products'!$Q$2:$Q$109,0))&amp;"","")</f>
        <v/>
      </c>
      <c r="G61">
        <f>IFERROR(INDEX('All products'!$G$2:$G$109,MATCH(56,'All products'!$Q$2:$Q$109,0))&amp;"","")</f>
        <v/>
      </c>
      <c r="H61">
        <f>IFERROR(INDEX('All products'!$H$2:$H$109,MATCH(56,'All products'!$Q$2:$Q$109,0))&amp;"","")</f>
        <v/>
      </c>
      <c r="I61">
        <f>IFERROR(INDEX('All products'!$I$2:$I$109,MATCH(56,'All products'!$Q$2:$Q$109,0))&amp;"","")</f>
        <v/>
      </c>
      <c r="J61">
        <f>IFERROR(INDEX('All products'!$J$2:$J$109,MATCH(56,'All products'!$Q$2:$Q$109,0))&amp;"","")</f>
        <v/>
      </c>
      <c r="K61">
        <f>IFERROR(INDEX('All products'!$K$2:$K$109,MATCH(56,'All products'!$Q$2:$Q$109,0))&amp;"","")</f>
        <v/>
      </c>
      <c r="L61">
        <f>IFERROR(INDEX('All products'!$L$2:$L$109,MATCH(56,'All products'!$Q$2:$Q$109,0))&amp;"","")</f>
        <v/>
      </c>
      <c r="M61">
        <f>IFERROR(INDEX('All products'!$M$2:$M$109,MATCH(56,'All products'!$Q$2:$Q$109,0))&amp;"","")</f>
        <v/>
      </c>
      <c r="N61">
        <f>IFERROR(INDEX('All products'!$N$2:$N$109,MATCH(56,'All products'!$Q$2:$Q$109,0))&amp;"","")</f>
        <v/>
      </c>
      <c r="O61">
        <f>IFERROR(HYPERLINK(INDEX('All products'!$O$2:$O$109,MATCH(56,'All products'!$Q$2:$Q$109,0))),"")</f>
        <v/>
      </c>
    </row>
    <row r="62">
      <c r="A62">
        <f>IFERROR(INDEX('All products'!$A$2:$A$109,MATCH(57,'All products'!$Q$2:$Q$109,0))&amp;"","")</f>
        <v/>
      </c>
      <c r="B62">
        <f>IFERROR(INDEX('All products'!$B$2:$B$109,MATCH(57,'All products'!$Q$2:$Q$109,0))&amp;"","")</f>
        <v/>
      </c>
      <c r="C62">
        <f>IFERROR(INDEX('All products'!$C$2:$C$109,MATCH(57,'All products'!$Q$2:$Q$109,0))&amp;"","")</f>
        <v/>
      </c>
      <c r="D62">
        <f>IFERROR(INDEX('All products'!$D$2:$D$109,MATCH(57,'All products'!$Q$2:$Q$109,0))&amp;"","")</f>
        <v/>
      </c>
      <c r="E62">
        <f>IFERROR(INDEX('All products'!$E$2:$E$109,MATCH(57,'All products'!$Q$2:$Q$109,0))&amp;"","")</f>
        <v/>
      </c>
      <c r="F62">
        <f>IFERROR(INDEX('All products'!$F$2:$F$109,MATCH(57,'All products'!$Q$2:$Q$109,0))&amp;"","")</f>
        <v/>
      </c>
      <c r="G62">
        <f>IFERROR(INDEX('All products'!$G$2:$G$109,MATCH(57,'All products'!$Q$2:$Q$109,0))&amp;"","")</f>
        <v/>
      </c>
      <c r="H62">
        <f>IFERROR(INDEX('All products'!$H$2:$H$109,MATCH(57,'All products'!$Q$2:$Q$109,0))&amp;"","")</f>
        <v/>
      </c>
      <c r="I62">
        <f>IFERROR(INDEX('All products'!$I$2:$I$109,MATCH(57,'All products'!$Q$2:$Q$109,0))&amp;"","")</f>
        <v/>
      </c>
      <c r="J62">
        <f>IFERROR(INDEX('All products'!$J$2:$J$109,MATCH(57,'All products'!$Q$2:$Q$109,0))&amp;"","")</f>
        <v/>
      </c>
      <c r="K62">
        <f>IFERROR(INDEX('All products'!$K$2:$K$109,MATCH(57,'All products'!$Q$2:$Q$109,0))&amp;"","")</f>
        <v/>
      </c>
      <c r="L62">
        <f>IFERROR(INDEX('All products'!$L$2:$L$109,MATCH(57,'All products'!$Q$2:$Q$109,0))&amp;"","")</f>
        <v/>
      </c>
      <c r="M62">
        <f>IFERROR(INDEX('All products'!$M$2:$M$109,MATCH(57,'All products'!$Q$2:$Q$109,0))&amp;"","")</f>
        <v/>
      </c>
      <c r="N62">
        <f>IFERROR(INDEX('All products'!$N$2:$N$109,MATCH(57,'All products'!$Q$2:$Q$109,0))&amp;"","")</f>
        <v/>
      </c>
      <c r="O62">
        <f>IFERROR(HYPERLINK(INDEX('All products'!$O$2:$O$109,MATCH(57,'All products'!$Q$2:$Q$109,0))),"")</f>
        <v/>
      </c>
    </row>
    <row r="63">
      <c r="A63">
        <f>IFERROR(INDEX('All products'!$A$2:$A$109,MATCH(58,'All products'!$Q$2:$Q$109,0))&amp;"","")</f>
        <v/>
      </c>
      <c r="B63">
        <f>IFERROR(INDEX('All products'!$B$2:$B$109,MATCH(58,'All products'!$Q$2:$Q$109,0))&amp;"","")</f>
        <v/>
      </c>
      <c r="C63">
        <f>IFERROR(INDEX('All products'!$C$2:$C$109,MATCH(58,'All products'!$Q$2:$Q$109,0))&amp;"","")</f>
        <v/>
      </c>
      <c r="D63">
        <f>IFERROR(INDEX('All products'!$D$2:$D$109,MATCH(58,'All products'!$Q$2:$Q$109,0))&amp;"","")</f>
        <v/>
      </c>
      <c r="E63">
        <f>IFERROR(INDEX('All products'!$E$2:$E$109,MATCH(58,'All products'!$Q$2:$Q$109,0))&amp;"","")</f>
        <v/>
      </c>
      <c r="F63">
        <f>IFERROR(INDEX('All products'!$F$2:$F$109,MATCH(58,'All products'!$Q$2:$Q$109,0))&amp;"","")</f>
        <v/>
      </c>
      <c r="G63">
        <f>IFERROR(INDEX('All products'!$G$2:$G$109,MATCH(58,'All products'!$Q$2:$Q$109,0))&amp;"","")</f>
        <v/>
      </c>
      <c r="H63">
        <f>IFERROR(INDEX('All products'!$H$2:$H$109,MATCH(58,'All products'!$Q$2:$Q$109,0))&amp;"","")</f>
        <v/>
      </c>
      <c r="I63">
        <f>IFERROR(INDEX('All products'!$I$2:$I$109,MATCH(58,'All products'!$Q$2:$Q$109,0))&amp;"","")</f>
        <v/>
      </c>
      <c r="J63">
        <f>IFERROR(INDEX('All products'!$J$2:$J$109,MATCH(58,'All products'!$Q$2:$Q$109,0))&amp;"","")</f>
        <v/>
      </c>
      <c r="K63">
        <f>IFERROR(INDEX('All products'!$K$2:$K$109,MATCH(58,'All products'!$Q$2:$Q$109,0))&amp;"","")</f>
        <v/>
      </c>
      <c r="L63">
        <f>IFERROR(INDEX('All products'!$L$2:$L$109,MATCH(58,'All products'!$Q$2:$Q$109,0))&amp;"","")</f>
        <v/>
      </c>
      <c r="M63">
        <f>IFERROR(INDEX('All products'!$M$2:$M$109,MATCH(58,'All products'!$Q$2:$Q$109,0))&amp;"","")</f>
        <v/>
      </c>
      <c r="N63">
        <f>IFERROR(INDEX('All products'!$N$2:$N$109,MATCH(58,'All products'!$Q$2:$Q$109,0))&amp;"","")</f>
        <v/>
      </c>
      <c r="O63">
        <f>IFERROR(HYPERLINK(INDEX('All products'!$O$2:$O$109,MATCH(58,'All products'!$Q$2:$Q$109,0))),"")</f>
        <v/>
      </c>
    </row>
    <row r="64">
      <c r="A64">
        <f>IFERROR(INDEX('All products'!$A$2:$A$109,MATCH(59,'All products'!$Q$2:$Q$109,0))&amp;"","")</f>
        <v/>
      </c>
      <c r="B64">
        <f>IFERROR(INDEX('All products'!$B$2:$B$109,MATCH(59,'All products'!$Q$2:$Q$109,0))&amp;"","")</f>
        <v/>
      </c>
      <c r="C64">
        <f>IFERROR(INDEX('All products'!$C$2:$C$109,MATCH(59,'All products'!$Q$2:$Q$109,0))&amp;"","")</f>
        <v/>
      </c>
      <c r="D64">
        <f>IFERROR(INDEX('All products'!$D$2:$D$109,MATCH(59,'All products'!$Q$2:$Q$109,0))&amp;"","")</f>
        <v/>
      </c>
      <c r="E64">
        <f>IFERROR(INDEX('All products'!$E$2:$E$109,MATCH(59,'All products'!$Q$2:$Q$109,0))&amp;"","")</f>
        <v/>
      </c>
      <c r="F64">
        <f>IFERROR(INDEX('All products'!$F$2:$F$109,MATCH(59,'All products'!$Q$2:$Q$109,0))&amp;"","")</f>
        <v/>
      </c>
      <c r="G64">
        <f>IFERROR(INDEX('All products'!$G$2:$G$109,MATCH(59,'All products'!$Q$2:$Q$109,0))&amp;"","")</f>
        <v/>
      </c>
      <c r="H64">
        <f>IFERROR(INDEX('All products'!$H$2:$H$109,MATCH(59,'All products'!$Q$2:$Q$109,0))&amp;"","")</f>
        <v/>
      </c>
      <c r="I64">
        <f>IFERROR(INDEX('All products'!$I$2:$I$109,MATCH(59,'All products'!$Q$2:$Q$109,0))&amp;"","")</f>
        <v/>
      </c>
      <c r="J64">
        <f>IFERROR(INDEX('All products'!$J$2:$J$109,MATCH(59,'All products'!$Q$2:$Q$109,0))&amp;"","")</f>
        <v/>
      </c>
      <c r="K64">
        <f>IFERROR(INDEX('All products'!$K$2:$K$109,MATCH(59,'All products'!$Q$2:$Q$109,0))&amp;"","")</f>
        <v/>
      </c>
      <c r="L64">
        <f>IFERROR(INDEX('All products'!$L$2:$L$109,MATCH(59,'All products'!$Q$2:$Q$109,0))&amp;"","")</f>
        <v/>
      </c>
      <c r="M64">
        <f>IFERROR(INDEX('All products'!$M$2:$M$109,MATCH(59,'All products'!$Q$2:$Q$109,0))&amp;"","")</f>
        <v/>
      </c>
      <c r="N64">
        <f>IFERROR(INDEX('All products'!$N$2:$N$109,MATCH(59,'All products'!$Q$2:$Q$109,0))&amp;"","")</f>
        <v/>
      </c>
      <c r="O64">
        <f>IFERROR(HYPERLINK(INDEX('All products'!$O$2:$O$109,MATCH(59,'All products'!$Q$2:$Q$109,0))),"")</f>
        <v/>
      </c>
    </row>
    <row r="65">
      <c r="A65">
        <f>IFERROR(INDEX('All products'!$A$2:$A$109,MATCH(60,'All products'!$Q$2:$Q$109,0))&amp;"","")</f>
        <v/>
      </c>
      <c r="B65">
        <f>IFERROR(INDEX('All products'!$B$2:$B$109,MATCH(60,'All products'!$Q$2:$Q$109,0))&amp;"","")</f>
        <v/>
      </c>
      <c r="C65">
        <f>IFERROR(INDEX('All products'!$C$2:$C$109,MATCH(60,'All products'!$Q$2:$Q$109,0))&amp;"","")</f>
        <v/>
      </c>
      <c r="D65">
        <f>IFERROR(INDEX('All products'!$D$2:$D$109,MATCH(60,'All products'!$Q$2:$Q$109,0))&amp;"","")</f>
        <v/>
      </c>
      <c r="E65">
        <f>IFERROR(INDEX('All products'!$E$2:$E$109,MATCH(60,'All products'!$Q$2:$Q$109,0))&amp;"","")</f>
        <v/>
      </c>
      <c r="F65">
        <f>IFERROR(INDEX('All products'!$F$2:$F$109,MATCH(60,'All products'!$Q$2:$Q$109,0))&amp;"","")</f>
        <v/>
      </c>
      <c r="G65">
        <f>IFERROR(INDEX('All products'!$G$2:$G$109,MATCH(60,'All products'!$Q$2:$Q$109,0))&amp;"","")</f>
        <v/>
      </c>
      <c r="H65">
        <f>IFERROR(INDEX('All products'!$H$2:$H$109,MATCH(60,'All products'!$Q$2:$Q$109,0))&amp;"","")</f>
        <v/>
      </c>
      <c r="I65">
        <f>IFERROR(INDEX('All products'!$I$2:$I$109,MATCH(60,'All products'!$Q$2:$Q$109,0))&amp;"","")</f>
        <v/>
      </c>
      <c r="J65">
        <f>IFERROR(INDEX('All products'!$J$2:$J$109,MATCH(60,'All products'!$Q$2:$Q$109,0))&amp;"","")</f>
        <v/>
      </c>
      <c r="K65">
        <f>IFERROR(INDEX('All products'!$K$2:$K$109,MATCH(60,'All products'!$Q$2:$Q$109,0))&amp;"","")</f>
        <v/>
      </c>
      <c r="L65">
        <f>IFERROR(INDEX('All products'!$L$2:$L$109,MATCH(60,'All products'!$Q$2:$Q$109,0))&amp;"","")</f>
        <v/>
      </c>
      <c r="M65">
        <f>IFERROR(INDEX('All products'!$M$2:$M$109,MATCH(60,'All products'!$Q$2:$Q$109,0))&amp;"","")</f>
        <v/>
      </c>
      <c r="N65">
        <f>IFERROR(INDEX('All products'!$N$2:$N$109,MATCH(60,'All products'!$Q$2:$Q$109,0))&amp;"","")</f>
        <v/>
      </c>
      <c r="O65">
        <f>IFERROR(HYPERLINK(INDEX('All products'!$O$2:$O$109,MATCH(60,'All products'!$Q$2:$Q$109,0))),"")</f>
        <v/>
      </c>
    </row>
    <row r="66">
      <c r="A66">
        <f>IFERROR(INDEX('All products'!$A$2:$A$109,MATCH(61,'All products'!$Q$2:$Q$109,0))&amp;"","")</f>
        <v/>
      </c>
      <c r="B66">
        <f>IFERROR(INDEX('All products'!$B$2:$B$109,MATCH(61,'All products'!$Q$2:$Q$109,0))&amp;"","")</f>
        <v/>
      </c>
      <c r="C66">
        <f>IFERROR(INDEX('All products'!$C$2:$C$109,MATCH(61,'All products'!$Q$2:$Q$109,0))&amp;"","")</f>
        <v/>
      </c>
      <c r="D66">
        <f>IFERROR(INDEX('All products'!$D$2:$D$109,MATCH(61,'All products'!$Q$2:$Q$109,0))&amp;"","")</f>
        <v/>
      </c>
      <c r="E66">
        <f>IFERROR(INDEX('All products'!$E$2:$E$109,MATCH(61,'All products'!$Q$2:$Q$109,0))&amp;"","")</f>
        <v/>
      </c>
      <c r="F66">
        <f>IFERROR(INDEX('All products'!$F$2:$F$109,MATCH(61,'All products'!$Q$2:$Q$109,0))&amp;"","")</f>
        <v/>
      </c>
      <c r="G66">
        <f>IFERROR(INDEX('All products'!$G$2:$G$109,MATCH(61,'All products'!$Q$2:$Q$109,0))&amp;"","")</f>
        <v/>
      </c>
      <c r="H66">
        <f>IFERROR(INDEX('All products'!$H$2:$H$109,MATCH(61,'All products'!$Q$2:$Q$109,0))&amp;"","")</f>
        <v/>
      </c>
      <c r="I66">
        <f>IFERROR(INDEX('All products'!$I$2:$I$109,MATCH(61,'All products'!$Q$2:$Q$109,0))&amp;"","")</f>
        <v/>
      </c>
      <c r="J66">
        <f>IFERROR(INDEX('All products'!$J$2:$J$109,MATCH(61,'All products'!$Q$2:$Q$109,0))&amp;"","")</f>
        <v/>
      </c>
      <c r="K66">
        <f>IFERROR(INDEX('All products'!$K$2:$K$109,MATCH(61,'All products'!$Q$2:$Q$109,0))&amp;"","")</f>
        <v/>
      </c>
      <c r="L66">
        <f>IFERROR(INDEX('All products'!$L$2:$L$109,MATCH(61,'All products'!$Q$2:$Q$109,0))&amp;"","")</f>
        <v/>
      </c>
      <c r="M66">
        <f>IFERROR(INDEX('All products'!$M$2:$M$109,MATCH(61,'All products'!$Q$2:$Q$109,0))&amp;"","")</f>
        <v/>
      </c>
      <c r="N66">
        <f>IFERROR(INDEX('All products'!$N$2:$N$109,MATCH(61,'All products'!$Q$2:$Q$109,0))&amp;"","")</f>
        <v/>
      </c>
      <c r="O66">
        <f>IFERROR(HYPERLINK(INDEX('All products'!$O$2:$O$109,MATCH(61,'All products'!$Q$2:$Q$109,0))),"")</f>
        <v/>
      </c>
    </row>
    <row r="67">
      <c r="A67">
        <f>IFERROR(INDEX('All products'!$A$2:$A$109,MATCH(62,'All products'!$Q$2:$Q$109,0))&amp;"","")</f>
        <v/>
      </c>
      <c r="B67">
        <f>IFERROR(INDEX('All products'!$B$2:$B$109,MATCH(62,'All products'!$Q$2:$Q$109,0))&amp;"","")</f>
        <v/>
      </c>
      <c r="C67">
        <f>IFERROR(INDEX('All products'!$C$2:$C$109,MATCH(62,'All products'!$Q$2:$Q$109,0))&amp;"","")</f>
        <v/>
      </c>
      <c r="D67">
        <f>IFERROR(INDEX('All products'!$D$2:$D$109,MATCH(62,'All products'!$Q$2:$Q$109,0))&amp;"","")</f>
        <v/>
      </c>
      <c r="E67">
        <f>IFERROR(INDEX('All products'!$E$2:$E$109,MATCH(62,'All products'!$Q$2:$Q$109,0))&amp;"","")</f>
        <v/>
      </c>
      <c r="F67">
        <f>IFERROR(INDEX('All products'!$F$2:$F$109,MATCH(62,'All products'!$Q$2:$Q$109,0))&amp;"","")</f>
        <v/>
      </c>
      <c r="G67">
        <f>IFERROR(INDEX('All products'!$G$2:$G$109,MATCH(62,'All products'!$Q$2:$Q$109,0))&amp;"","")</f>
        <v/>
      </c>
      <c r="H67">
        <f>IFERROR(INDEX('All products'!$H$2:$H$109,MATCH(62,'All products'!$Q$2:$Q$109,0))&amp;"","")</f>
        <v/>
      </c>
      <c r="I67">
        <f>IFERROR(INDEX('All products'!$I$2:$I$109,MATCH(62,'All products'!$Q$2:$Q$109,0))&amp;"","")</f>
        <v/>
      </c>
      <c r="J67">
        <f>IFERROR(INDEX('All products'!$J$2:$J$109,MATCH(62,'All products'!$Q$2:$Q$109,0))&amp;"","")</f>
        <v/>
      </c>
      <c r="K67">
        <f>IFERROR(INDEX('All products'!$K$2:$K$109,MATCH(62,'All products'!$Q$2:$Q$109,0))&amp;"","")</f>
        <v/>
      </c>
      <c r="L67">
        <f>IFERROR(INDEX('All products'!$L$2:$L$109,MATCH(62,'All products'!$Q$2:$Q$109,0))&amp;"","")</f>
        <v/>
      </c>
      <c r="M67">
        <f>IFERROR(INDEX('All products'!$M$2:$M$109,MATCH(62,'All products'!$Q$2:$Q$109,0))&amp;"","")</f>
        <v/>
      </c>
      <c r="N67">
        <f>IFERROR(INDEX('All products'!$N$2:$N$109,MATCH(62,'All products'!$Q$2:$Q$109,0))&amp;"","")</f>
        <v/>
      </c>
      <c r="O67">
        <f>IFERROR(HYPERLINK(INDEX('All products'!$O$2:$O$109,MATCH(62,'All products'!$Q$2:$Q$109,0))),"")</f>
        <v/>
      </c>
    </row>
    <row r="68">
      <c r="A68">
        <f>IFERROR(INDEX('All products'!$A$2:$A$109,MATCH(63,'All products'!$Q$2:$Q$109,0))&amp;"","")</f>
        <v/>
      </c>
      <c r="B68">
        <f>IFERROR(INDEX('All products'!$B$2:$B$109,MATCH(63,'All products'!$Q$2:$Q$109,0))&amp;"","")</f>
        <v/>
      </c>
      <c r="C68">
        <f>IFERROR(INDEX('All products'!$C$2:$C$109,MATCH(63,'All products'!$Q$2:$Q$109,0))&amp;"","")</f>
        <v/>
      </c>
      <c r="D68">
        <f>IFERROR(INDEX('All products'!$D$2:$D$109,MATCH(63,'All products'!$Q$2:$Q$109,0))&amp;"","")</f>
        <v/>
      </c>
      <c r="E68">
        <f>IFERROR(INDEX('All products'!$E$2:$E$109,MATCH(63,'All products'!$Q$2:$Q$109,0))&amp;"","")</f>
        <v/>
      </c>
      <c r="F68">
        <f>IFERROR(INDEX('All products'!$F$2:$F$109,MATCH(63,'All products'!$Q$2:$Q$109,0))&amp;"","")</f>
        <v/>
      </c>
      <c r="G68">
        <f>IFERROR(INDEX('All products'!$G$2:$G$109,MATCH(63,'All products'!$Q$2:$Q$109,0))&amp;"","")</f>
        <v/>
      </c>
      <c r="H68">
        <f>IFERROR(INDEX('All products'!$H$2:$H$109,MATCH(63,'All products'!$Q$2:$Q$109,0))&amp;"","")</f>
        <v/>
      </c>
      <c r="I68">
        <f>IFERROR(INDEX('All products'!$I$2:$I$109,MATCH(63,'All products'!$Q$2:$Q$109,0))&amp;"","")</f>
        <v/>
      </c>
      <c r="J68">
        <f>IFERROR(INDEX('All products'!$J$2:$J$109,MATCH(63,'All products'!$Q$2:$Q$109,0))&amp;"","")</f>
        <v/>
      </c>
      <c r="K68">
        <f>IFERROR(INDEX('All products'!$K$2:$K$109,MATCH(63,'All products'!$Q$2:$Q$109,0))&amp;"","")</f>
        <v/>
      </c>
      <c r="L68">
        <f>IFERROR(INDEX('All products'!$L$2:$L$109,MATCH(63,'All products'!$Q$2:$Q$109,0))&amp;"","")</f>
        <v/>
      </c>
      <c r="M68">
        <f>IFERROR(INDEX('All products'!$M$2:$M$109,MATCH(63,'All products'!$Q$2:$Q$109,0))&amp;"","")</f>
        <v/>
      </c>
      <c r="N68">
        <f>IFERROR(INDEX('All products'!$N$2:$N$109,MATCH(63,'All products'!$Q$2:$Q$109,0))&amp;"","")</f>
        <v/>
      </c>
      <c r="O68">
        <f>IFERROR(HYPERLINK(INDEX('All products'!$O$2:$O$109,MATCH(63,'All products'!$Q$2:$Q$109,0))),"")</f>
        <v/>
      </c>
    </row>
    <row r="69">
      <c r="A69">
        <f>IFERROR(INDEX('All products'!$A$2:$A$109,MATCH(64,'All products'!$Q$2:$Q$109,0))&amp;"","")</f>
        <v/>
      </c>
      <c r="B69">
        <f>IFERROR(INDEX('All products'!$B$2:$B$109,MATCH(64,'All products'!$Q$2:$Q$109,0))&amp;"","")</f>
        <v/>
      </c>
      <c r="C69">
        <f>IFERROR(INDEX('All products'!$C$2:$C$109,MATCH(64,'All products'!$Q$2:$Q$109,0))&amp;"","")</f>
        <v/>
      </c>
      <c r="D69">
        <f>IFERROR(INDEX('All products'!$D$2:$D$109,MATCH(64,'All products'!$Q$2:$Q$109,0))&amp;"","")</f>
        <v/>
      </c>
      <c r="E69">
        <f>IFERROR(INDEX('All products'!$E$2:$E$109,MATCH(64,'All products'!$Q$2:$Q$109,0))&amp;"","")</f>
        <v/>
      </c>
      <c r="F69">
        <f>IFERROR(INDEX('All products'!$F$2:$F$109,MATCH(64,'All products'!$Q$2:$Q$109,0))&amp;"","")</f>
        <v/>
      </c>
      <c r="G69">
        <f>IFERROR(INDEX('All products'!$G$2:$G$109,MATCH(64,'All products'!$Q$2:$Q$109,0))&amp;"","")</f>
        <v/>
      </c>
      <c r="H69">
        <f>IFERROR(INDEX('All products'!$H$2:$H$109,MATCH(64,'All products'!$Q$2:$Q$109,0))&amp;"","")</f>
        <v/>
      </c>
      <c r="I69">
        <f>IFERROR(INDEX('All products'!$I$2:$I$109,MATCH(64,'All products'!$Q$2:$Q$109,0))&amp;"","")</f>
        <v/>
      </c>
      <c r="J69">
        <f>IFERROR(INDEX('All products'!$J$2:$J$109,MATCH(64,'All products'!$Q$2:$Q$109,0))&amp;"","")</f>
        <v/>
      </c>
      <c r="K69">
        <f>IFERROR(INDEX('All products'!$K$2:$K$109,MATCH(64,'All products'!$Q$2:$Q$109,0))&amp;"","")</f>
        <v/>
      </c>
      <c r="L69">
        <f>IFERROR(INDEX('All products'!$L$2:$L$109,MATCH(64,'All products'!$Q$2:$Q$109,0))&amp;"","")</f>
        <v/>
      </c>
      <c r="M69">
        <f>IFERROR(INDEX('All products'!$M$2:$M$109,MATCH(64,'All products'!$Q$2:$Q$109,0))&amp;"","")</f>
        <v/>
      </c>
      <c r="N69">
        <f>IFERROR(INDEX('All products'!$N$2:$N$109,MATCH(64,'All products'!$Q$2:$Q$109,0))&amp;"","")</f>
        <v/>
      </c>
      <c r="O69">
        <f>IFERROR(HYPERLINK(INDEX('All products'!$O$2:$O$109,MATCH(64,'All products'!$Q$2:$Q$109,0))),"")</f>
        <v/>
      </c>
    </row>
    <row r="70">
      <c r="A70">
        <f>IFERROR(INDEX('All products'!$A$2:$A$109,MATCH(65,'All products'!$Q$2:$Q$109,0))&amp;"","")</f>
        <v/>
      </c>
      <c r="B70">
        <f>IFERROR(INDEX('All products'!$B$2:$B$109,MATCH(65,'All products'!$Q$2:$Q$109,0))&amp;"","")</f>
        <v/>
      </c>
      <c r="C70">
        <f>IFERROR(INDEX('All products'!$C$2:$C$109,MATCH(65,'All products'!$Q$2:$Q$109,0))&amp;"","")</f>
        <v/>
      </c>
      <c r="D70">
        <f>IFERROR(INDEX('All products'!$D$2:$D$109,MATCH(65,'All products'!$Q$2:$Q$109,0))&amp;"","")</f>
        <v/>
      </c>
      <c r="E70">
        <f>IFERROR(INDEX('All products'!$E$2:$E$109,MATCH(65,'All products'!$Q$2:$Q$109,0))&amp;"","")</f>
        <v/>
      </c>
      <c r="F70">
        <f>IFERROR(INDEX('All products'!$F$2:$F$109,MATCH(65,'All products'!$Q$2:$Q$109,0))&amp;"","")</f>
        <v/>
      </c>
      <c r="G70">
        <f>IFERROR(INDEX('All products'!$G$2:$G$109,MATCH(65,'All products'!$Q$2:$Q$109,0))&amp;"","")</f>
        <v/>
      </c>
      <c r="H70">
        <f>IFERROR(INDEX('All products'!$H$2:$H$109,MATCH(65,'All products'!$Q$2:$Q$109,0))&amp;"","")</f>
        <v/>
      </c>
      <c r="I70">
        <f>IFERROR(INDEX('All products'!$I$2:$I$109,MATCH(65,'All products'!$Q$2:$Q$109,0))&amp;"","")</f>
        <v/>
      </c>
      <c r="J70">
        <f>IFERROR(INDEX('All products'!$J$2:$J$109,MATCH(65,'All products'!$Q$2:$Q$109,0))&amp;"","")</f>
        <v/>
      </c>
      <c r="K70">
        <f>IFERROR(INDEX('All products'!$K$2:$K$109,MATCH(65,'All products'!$Q$2:$Q$109,0))&amp;"","")</f>
        <v/>
      </c>
      <c r="L70">
        <f>IFERROR(INDEX('All products'!$L$2:$L$109,MATCH(65,'All products'!$Q$2:$Q$109,0))&amp;"","")</f>
        <v/>
      </c>
      <c r="M70">
        <f>IFERROR(INDEX('All products'!$M$2:$M$109,MATCH(65,'All products'!$Q$2:$Q$109,0))&amp;"","")</f>
        <v/>
      </c>
      <c r="N70">
        <f>IFERROR(INDEX('All products'!$N$2:$N$109,MATCH(65,'All products'!$Q$2:$Q$109,0))&amp;"","")</f>
        <v/>
      </c>
      <c r="O70">
        <f>IFERROR(HYPERLINK(INDEX('All products'!$O$2:$O$109,MATCH(65,'All products'!$Q$2:$Q$109,0))),"")</f>
        <v/>
      </c>
    </row>
    <row r="71">
      <c r="A71">
        <f>IFERROR(INDEX('All products'!$A$2:$A$109,MATCH(66,'All products'!$Q$2:$Q$109,0))&amp;"","")</f>
        <v/>
      </c>
      <c r="B71">
        <f>IFERROR(INDEX('All products'!$B$2:$B$109,MATCH(66,'All products'!$Q$2:$Q$109,0))&amp;"","")</f>
        <v/>
      </c>
      <c r="C71">
        <f>IFERROR(INDEX('All products'!$C$2:$C$109,MATCH(66,'All products'!$Q$2:$Q$109,0))&amp;"","")</f>
        <v/>
      </c>
      <c r="D71">
        <f>IFERROR(INDEX('All products'!$D$2:$D$109,MATCH(66,'All products'!$Q$2:$Q$109,0))&amp;"","")</f>
        <v/>
      </c>
      <c r="E71">
        <f>IFERROR(INDEX('All products'!$E$2:$E$109,MATCH(66,'All products'!$Q$2:$Q$109,0))&amp;"","")</f>
        <v/>
      </c>
      <c r="F71">
        <f>IFERROR(INDEX('All products'!$F$2:$F$109,MATCH(66,'All products'!$Q$2:$Q$109,0))&amp;"","")</f>
        <v/>
      </c>
      <c r="G71">
        <f>IFERROR(INDEX('All products'!$G$2:$G$109,MATCH(66,'All products'!$Q$2:$Q$109,0))&amp;"","")</f>
        <v/>
      </c>
      <c r="H71">
        <f>IFERROR(INDEX('All products'!$H$2:$H$109,MATCH(66,'All products'!$Q$2:$Q$109,0))&amp;"","")</f>
        <v/>
      </c>
      <c r="I71">
        <f>IFERROR(INDEX('All products'!$I$2:$I$109,MATCH(66,'All products'!$Q$2:$Q$109,0))&amp;"","")</f>
        <v/>
      </c>
      <c r="J71">
        <f>IFERROR(INDEX('All products'!$J$2:$J$109,MATCH(66,'All products'!$Q$2:$Q$109,0))&amp;"","")</f>
        <v/>
      </c>
      <c r="K71">
        <f>IFERROR(INDEX('All products'!$K$2:$K$109,MATCH(66,'All products'!$Q$2:$Q$109,0))&amp;"","")</f>
        <v/>
      </c>
      <c r="L71">
        <f>IFERROR(INDEX('All products'!$L$2:$L$109,MATCH(66,'All products'!$Q$2:$Q$109,0))&amp;"","")</f>
        <v/>
      </c>
      <c r="M71">
        <f>IFERROR(INDEX('All products'!$M$2:$M$109,MATCH(66,'All products'!$Q$2:$Q$109,0))&amp;"","")</f>
        <v/>
      </c>
      <c r="N71">
        <f>IFERROR(INDEX('All products'!$N$2:$N$109,MATCH(66,'All products'!$Q$2:$Q$109,0))&amp;"","")</f>
        <v/>
      </c>
      <c r="O71">
        <f>IFERROR(HYPERLINK(INDEX('All products'!$O$2:$O$109,MATCH(66,'All products'!$Q$2:$Q$109,0))),"")</f>
        <v/>
      </c>
    </row>
    <row r="72">
      <c r="A72">
        <f>IFERROR(INDEX('All products'!$A$2:$A$109,MATCH(67,'All products'!$Q$2:$Q$109,0))&amp;"","")</f>
        <v/>
      </c>
      <c r="B72">
        <f>IFERROR(INDEX('All products'!$B$2:$B$109,MATCH(67,'All products'!$Q$2:$Q$109,0))&amp;"","")</f>
        <v/>
      </c>
      <c r="C72">
        <f>IFERROR(INDEX('All products'!$C$2:$C$109,MATCH(67,'All products'!$Q$2:$Q$109,0))&amp;"","")</f>
        <v/>
      </c>
      <c r="D72">
        <f>IFERROR(INDEX('All products'!$D$2:$D$109,MATCH(67,'All products'!$Q$2:$Q$109,0))&amp;"","")</f>
        <v/>
      </c>
      <c r="E72">
        <f>IFERROR(INDEX('All products'!$E$2:$E$109,MATCH(67,'All products'!$Q$2:$Q$109,0))&amp;"","")</f>
        <v/>
      </c>
      <c r="F72">
        <f>IFERROR(INDEX('All products'!$F$2:$F$109,MATCH(67,'All products'!$Q$2:$Q$109,0))&amp;"","")</f>
        <v/>
      </c>
      <c r="G72">
        <f>IFERROR(INDEX('All products'!$G$2:$G$109,MATCH(67,'All products'!$Q$2:$Q$109,0))&amp;"","")</f>
        <v/>
      </c>
      <c r="H72">
        <f>IFERROR(INDEX('All products'!$H$2:$H$109,MATCH(67,'All products'!$Q$2:$Q$109,0))&amp;"","")</f>
        <v/>
      </c>
      <c r="I72">
        <f>IFERROR(INDEX('All products'!$I$2:$I$109,MATCH(67,'All products'!$Q$2:$Q$109,0))&amp;"","")</f>
        <v/>
      </c>
      <c r="J72">
        <f>IFERROR(INDEX('All products'!$J$2:$J$109,MATCH(67,'All products'!$Q$2:$Q$109,0))&amp;"","")</f>
        <v/>
      </c>
      <c r="K72">
        <f>IFERROR(INDEX('All products'!$K$2:$K$109,MATCH(67,'All products'!$Q$2:$Q$109,0))&amp;"","")</f>
        <v/>
      </c>
      <c r="L72">
        <f>IFERROR(INDEX('All products'!$L$2:$L$109,MATCH(67,'All products'!$Q$2:$Q$109,0))&amp;"","")</f>
        <v/>
      </c>
      <c r="M72">
        <f>IFERROR(INDEX('All products'!$M$2:$M$109,MATCH(67,'All products'!$Q$2:$Q$109,0))&amp;"","")</f>
        <v/>
      </c>
      <c r="N72">
        <f>IFERROR(INDEX('All products'!$N$2:$N$109,MATCH(67,'All products'!$Q$2:$Q$109,0))&amp;"","")</f>
        <v/>
      </c>
      <c r="O72">
        <f>IFERROR(HYPERLINK(INDEX('All products'!$O$2:$O$109,MATCH(67,'All products'!$Q$2:$Q$109,0))),"")</f>
        <v/>
      </c>
    </row>
    <row r="73">
      <c r="A73">
        <f>IFERROR(INDEX('All products'!$A$2:$A$109,MATCH(68,'All products'!$Q$2:$Q$109,0))&amp;"","")</f>
        <v/>
      </c>
      <c r="B73">
        <f>IFERROR(INDEX('All products'!$B$2:$B$109,MATCH(68,'All products'!$Q$2:$Q$109,0))&amp;"","")</f>
        <v/>
      </c>
      <c r="C73">
        <f>IFERROR(INDEX('All products'!$C$2:$C$109,MATCH(68,'All products'!$Q$2:$Q$109,0))&amp;"","")</f>
        <v/>
      </c>
      <c r="D73">
        <f>IFERROR(INDEX('All products'!$D$2:$D$109,MATCH(68,'All products'!$Q$2:$Q$109,0))&amp;"","")</f>
        <v/>
      </c>
      <c r="E73">
        <f>IFERROR(INDEX('All products'!$E$2:$E$109,MATCH(68,'All products'!$Q$2:$Q$109,0))&amp;"","")</f>
        <v/>
      </c>
      <c r="F73">
        <f>IFERROR(INDEX('All products'!$F$2:$F$109,MATCH(68,'All products'!$Q$2:$Q$109,0))&amp;"","")</f>
        <v/>
      </c>
      <c r="G73">
        <f>IFERROR(INDEX('All products'!$G$2:$G$109,MATCH(68,'All products'!$Q$2:$Q$109,0))&amp;"","")</f>
        <v/>
      </c>
      <c r="H73">
        <f>IFERROR(INDEX('All products'!$H$2:$H$109,MATCH(68,'All products'!$Q$2:$Q$109,0))&amp;"","")</f>
        <v/>
      </c>
      <c r="I73">
        <f>IFERROR(INDEX('All products'!$I$2:$I$109,MATCH(68,'All products'!$Q$2:$Q$109,0))&amp;"","")</f>
        <v/>
      </c>
      <c r="J73">
        <f>IFERROR(INDEX('All products'!$J$2:$J$109,MATCH(68,'All products'!$Q$2:$Q$109,0))&amp;"","")</f>
        <v/>
      </c>
      <c r="K73">
        <f>IFERROR(INDEX('All products'!$K$2:$K$109,MATCH(68,'All products'!$Q$2:$Q$109,0))&amp;"","")</f>
        <v/>
      </c>
      <c r="L73">
        <f>IFERROR(INDEX('All products'!$L$2:$L$109,MATCH(68,'All products'!$Q$2:$Q$109,0))&amp;"","")</f>
        <v/>
      </c>
      <c r="M73">
        <f>IFERROR(INDEX('All products'!$M$2:$M$109,MATCH(68,'All products'!$Q$2:$Q$109,0))&amp;"","")</f>
        <v/>
      </c>
      <c r="N73">
        <f>IFERROR(INDEX('All products'!$N$2:$N$109,MATCH(68,'All products'!$Q$2:$Q$109,0))&amp;"","")</f>
        <v/>
      </c>
      <c r="O73">
        <f>IFERROR(HYPERLINK(INDEX('All products'!$O$2:$O$109,MATCH(68,'All products'!$Q$2:$Q$109,0))),"")</f>
        <v/>
      </c>
    </row>
    <row r="74">
      <c r="A74">
        <f>IFERROR(INDEX('All products'!$A$2:$A$109,MATCH(69,'All products'!$Q$2:$Q$109,0))&amp;"","")</f>
        <v/>
      </c>
      <c r="B74">
        <f>IFERROR(INDEX('All products'!$B$2:$B$109,MATCH(69,'All products'!$Q$2:$Q$109,0))&amp;"","")</f>
        <v/>
      </c>
      <c r="C74">
        <f>IFERROR(INDEX('All products'!$C$2:$C$109,MATCH(69,'All products'!$Q$2:$Q$109,0))&amp;"","")</f>
        <v/>
      </c>
      <c r="D74">
        <f>IFERROR(INDEX('All products'!$D$2:$D$109,MATCH(69,'All products'!$Q$2:$Q$109,0))&amp;"","")</f>
        <v/>
      </c>
      <c r="E74">
        <f>IFERROR(INDEX('All products'!$E$2:$E$109,MATCH(69,'All products'!$Q$2:$Q$109,0))&amp;"","")</f>
        <v/>
      </c>
      <c r="F74">
        <f>IFERROR(INDEX('All products'!$F$2:$F$109,MATCH(69,'All products'!$Q$2:$Q$109,0))&amp;"","")</f>
        <v/>
      </c>
      <c r="G74">
        <f>IFERROR(INDEX('All products'!$G$2:$G$109,MATCH(69,'All products'!$Q$2:$Q$109,0))&amp;"","")</f>
        <v/>
      </c>
      <c r="H74">
        <f>IFERROR(INDEX('All products'!$H$2:$H$109,MATCH(69,'All products'!$Q$2:$Q$109,0))&amp;"","")</f>
        <v/>
      </c>
      <c r="I74">
        <f>IFERROR(INDEX('All products'!$I$2:$I$109,MATCH(69,'All products'!$Q$2:$Q$109,0))&amp;"","")</f>
        <v/>
      </c>
      <c r="J74">
        <f>IFERROR(INDEX('All products'!$J$2:$J$109,MATCH(69,'All products'!$Q$2:$Q$109,0))&amp;"","")</f>
        <v/>
      </c>
      <c r="K74">
        <f>IFERROR(INDEX('All products'!$K$2:$K$109,MATCH(69,'All products'!$Q$2:$Q$109,0))&amp;"","")</f>
        <v/>
      </c>
      <c r="L74">
        <f>IFERROR(INDEX('All products'!$L$2:$L$109,MATCH(69,'All products'!$Q$2:$Q$109,0))&amp;"","")</f>
        <v/>
      </c>
      <c r="M74">
        <f>IFERROR(INDEX('All products'!$M$2:$M$109,MATCH(69,'All products'!$Q$2:$Q$109,0))&amp;"","")</f>
        <v/>
      </c>
      <c r="N74">
        <f>IFERROR(INDEX('All products'!$N$2:$N$109,MATCH(69,'All products'!$Q$2:$Q$109,0))&amp;"","")</f>
        <v/>
      </c>
      <c r="O74">
        <f>IFERROR(HYPERLINK(INDEX('All products'!$O$2:$O$109,MATCH(69,'All products'!$Q$2:$Q$109,0))),"")</f>
        <v/>
      </c>
    </row>
    <row r="75">
      <c r="A75">
        <f>IFERROR(INDEX('All products'!$A$2:$A$109,MATCH(70,'All products'!$Q$2:$Q$109,0))&amp;"","")</f>
        <v/>
      </c>
      <c r="B75">
        <f>IFERROR(INDEX('All products'!$B$2:$B$109,MATCH(70,'All products'!$Q$2:$Q$109,0))&amp;"","")</f>
        <v/>
      </c>
      <c r="C75">
        <f>IFERROR(INDEX('All products'!$C$2:$C$109,MATCH(70,'All products'!$Q$2:$Q$109,0))&amp;"","")</f>
        <v/>
      </c>
      <c r="D75">
        <f>IFERROR(INDEX('All products'!$D$2:$D$109,MATCH(70,'All products'!$Q$2:$Q$109,0))&amp;"","")</f>
        <v/>
      </c>
      <c r="E75">
        <f>IFERROR(INDEX('All products'!$E$2:$E$109,MATCH(70,'All products'!$Q$2:$Q$109,0))&amp;"","")</f>
        <v/>
      </c>
      <c r="F75">
        <f>IFERROR(INDEX('All products'!$F$2:$F$109,MATCH(70,'All products'!$Q$2:$Q$109,0))&amp;"","")</f>
        <v/>
      </c>
      <c r="G75">
        <f>IFERROR(INDEX('All products'!$G$2:$G$109,MATCH(70,'All products'!$Q$2:$Q$109,0))&amp;"","")</f>
        <v/>
      </c>
      <c r="H75">
        <f>IFERROR(INDEX('All products'!$H$2:$H$109,MATCH(70,'All products'!$Q$2:$Q$109,0))&amp;"","")</f>
        <v/>
      </c>
      <c r="I75">
        <f>IFERROR(INDEX('All products'!$I$2:$I$109,MATCH(70,'All products'!$Q$2:$Q$109,0))&amp;"","")</f>
        <v/>
      </c>
      <c r="J75">
        <f>IFERROR(INDEX('All products'!$J$2:$J$109,MATCH(70,'All products'!$Q$2:$Q$109,0))&amp;"","")</f>
        <v/>
      </c>
      <c r="K75">
        <f>IFERROR(INDEX('All products'!$K$2:$K$109,MATCH(70,'All products'!$Q$2:$Q$109,0))&amp;"","")</f>
        <v/>
      </c>
      <c r="L75">
        <f>IFERROR(INDEX('All products'!$L$2:$L$109,MATCH(70,'All products'!$Q$2:$Q$109,0))&amp;"","")</f>
        <v/>
      </c>
      <c r="M75">
        <f>IFERROR(INDEX('All products'!$M$2:$M$109,MATCH(70,'All products'!$Q$2:$Q$109,0))&amp;"","")</f>
        <v/>
      </c>
      <c r="N75">
        <f>IFERROR(INDEX('All products'!$N$2:$N$109,MATCH(70,'All products'!$Q$2:$Q$109,0))&amp;"","")</f>
        <v/>
      </c>
      <c r="O75">
        <f>IFERROR(HYPERLINK(INDEX('All products'!$O$2:$O$109,MATCH(70,'All products'!$Q$2:$Q$109,0))),"")</f>
        <v/>
      </c>
    </row>
    <row r="76">
      <c r="A76">
        <f>IFERROR(INDEX('All products'!$A$2:$A$109,MATCH(71,'All products'!$Q$2:$Q$109,0))&amp;"","")</f>
        <v/>
      </c>
      <c r="B76">
        <f>IFERROR(INDEX('All products'!$B$2:$B$109,MATCH(71,'All products'!$Q$2:$Q$109,0))&amp;"","")</f>
        <v/>
      </c>
      <c r="C76">
        <f>IFERROR(INDEX('All products'!$C$2:$C$109,MATCH(71,'All products'!$Q$2:$Q$109,0))&amp;"","")</f>
        <v/>
      </c>
      <c r="D76">
        <f>IFERROR(INDEX('All products'!$D$2:$D$109,MATCH(71,'All products'!$Q$2:$Q$109,0))&amp;"","")</f>
        <v/>
      </c>
      <c r="E76">
        <f>IFERROR(INDEX('All products'!$E$2:$E$109,MATCH(71,'All products'!$Q$2:$Q$109,0))&amp;"","")</f>
        <v/>
      </c>
      <c r="F76">
        <f>IFERROR(INDEX('All products'!$F$2:$F$109,MATCH(71,'All products'!$Q$2:$Q$109,0))&amp;"","")</f>
        <v/>
      </c>
      <c r="G76">
        <f>IFERROR(INDEX('All products'!$G$2:$G$109,MATCH(71,'All products'!$Q$2:$Q$109,0))&amp;"","")</f>
        <v/>
      </c>
      <c r="H76">
        <f>IFERROR(INDEX('All products'!$H$2:$H$109,MATCH(71,'All products'!$Q$2:$Q$109,0))&amp;"","")</f>
        <v/>
      </c>
      <c r="I76">
        <f>IFERROR(INDEX('All products'!$I$2:$I$109,MATCH(71,'All products'!$Q$2:$Q$109,0))&amp;"","")</f>
        <v/>
      </c>
      <c r="J76">
        <f>IFERROR(INDEX('All products'!$J$2:$J$109,MATCH(71,'All products'!$Q$2:$Q$109,0))&amp;"","")</f>
        <v/>
      </c>
      <c r="K76">
        <f>IFERROR(INDEX('All products'!$K$2:$K$109,MATCH(71,'All products'!$Q$2:$Q$109,0))&amp;"","")</f>
        <v/>
      </c>
      <c r="L76">
        <f>IFERROR(INDEX('All products'!$L$2:$L$109,MATCH(71,'All products'!$Q$2:$Q$109,0))&amp;"","")</f>
        <v/>
      </c>
      <c r="M76">
        <f>IFERROR(INDEX('All products'!$M$2:$M$109,MATCH(71,'All products'!$Q$2:$Q$109,0))&amp;"","")</f>
        <v/>
      </c>
      <c r="N76">
        <f>IFERROR(INDEX('All products'!$N$2:$N$109,MATCH(71,'All products'!$Q$2:$Q$109,0))&amp;"","")</f>
        <v/>
      </c>
      <c r="O76">
        <f>IFERROR(HYPERLINK(INDEX('All products'!$O$2:$O$109,MATCH(71,'All products'!$Q$2:$Q$109,0))),"")</f>
        <v/>
      </c>
    </row>
    <row r="77">
      <c r="A77">
        <f>IFERROR(INDEX('All products'!$A$2:$A$109,MATCH(72,'All products'!$Q$2:$Q$109,0))&amp;"","")</f>
        <v/>
      </c>
      <c r="B77">
        <f>IFERROR(INDEX('All products'!$B$2:$B$109,MATCH(72,'All products'!$Q$2:$Q$109,0))&amp;"","")</f>
        <v/>
      </c>
      <c r="C77">
        <f>IFERROR(INDEX('All products'!$C$2:$C$109,MATCH(72,'All products'!$Q$2:$Q$109,0))&amp;"","")</f>
        <v/>
      </c>
      <c r="D77">
        <f>IFERROR(INDEX('All products'!$D$2:$D$109,MATCH(72,'All products'!$Q$2:$Q$109,0))&amp;"","")</f>
        <v/>
      </c>
      <c r="E77">
        <f>IFERROR(INDEX('All products'!$E$2:$E$109,MATCH(72,'All products'!$Q$2:$Q$109,0))&amp;"","")</f>
        <v/>
      </c>
      <c r="F77">
        <f>IFERROR(INDEX('All products'!$F$2:$F$109,MATCH(72,'All products'!$Q$2:$Q$109,0))&amp;"","")</f>
        <v/>
      </c>
      <c r="G77">
        <f>IFERROR(INDEX('All products'!$G$2:$G$109,MATCH(72,'All products'!$Q$2:$Q$109,0))&amp;"","")</f>
        <v/>
      </c>
      <c r="H77">
        <f>IFERROR(INDEX('All products'!$H$2:$H$109,MATCH(72,'All products'!$Q$2:$Q$109,0))&amp;"","")</f>
        <v/>
      </c>
      <c r="I77">
        <f>IFERROR(INDEX('All products'!$I$2:$I$109,MATCH(72,'All products'!$Q$2:$Q$109,0))&amp;"","")</f>
        <v/>
      </c>
      <c r="J77">
        <f>IFERROR(INDEX('All products'!$J$2:$J$109,MATCH(72,'All products'!$Q$2:$Q$109,0))&amp;"","")</f>
        <v/>
      </c>
      <c r="K77">
        <f>IFERROR(INDEX('All products'!$K$2:$K$109,MATCH(72,'All products'!$Q$2:$Q$109,0))&amp;"","")</f>
        <v/>
      </c>
      <c r="L77">
        <f>IFERROR(INDEX('All products'!$L$2:$L$109,MATCH(72,'All products'!$Q$2:$Q$109,0))&amp;"","")</f>
        <v/>
      </c>
      <c r="M77">
        <f>IFERROR(INDEX('All products'!$M$2:$M$109,MATCH(72,'All products'!$Q$2:$Q$109,0))&amp;"","")</f>
        <v/>
      </c>
      <c r="N77">
        <f>IFERROR(INDEX('All products'!$N$2:$N$109,MATCH(72,'All products'!$Q$2:$Q$109,0))&amp;"","")</f>
        <v/>
      </c>
      <c r="O77">
        <f>IFERROR(HYPERLINK(INDEX('All products'!$O$2:$O$109,MATCH(72,'All products'!$Q$2:$Q$109,0))),"")</f>
        <v/>
      </c>
    </row>
    <row r="78">
      <c r="A78">
        <f>IFERROR(INDEX('All products'!$A$2:$A$109,MATCH(73,'All products'!$Q$2:$Q$109,0))&amp;"","")</f>
        <v/>
      </c>
      <c r="B78">
        <f>IFERROR(INDEX('All products'!$B$2:$B$109,MATCH(73,'All products'!$Q$2:$Q$109,0))&amp;"","")</f>
        <v/>
      </c>
      <c r="C78">
        <f>IFERROR(INDEX('All products'!$C$2:$C$109,MATCH(73,'All products'!$Q$2:$Q$109,0))&amp;"","")</f>
        <v/>
      </c>
      <c r="D78">
        <f>IFERROR(INDEX('All products'!$D$2:$D$109,MATCH(73,'All products'!$Q$2:$Q$109,0))&amp;"","")</f>
        <v/>
      </c>
      <c r="E78">
        <f>IFERROR(INDEX('All products'!$E$2:$E$109,MATCH(73,'All products'!$Q$2:$Q$109,0))&amp;"","")</f>
        <v/>
      </c>
      <c r="F78">
        <f>IFERROR(INDEX('All products'!$F$2:$F$109,MATCH(73,'All products'!$Q$2:$Q$109,0))&amp;"","")</f>
        <v/>
      </c>
      <c r="G78">
        <f>IFERROR(INDEX('All products'!$G$2:$G$109,MATCH(73,'All products'!$Q$2:$Q$109,0))&amp;"","")</f>
        <v/>
      </c>
      <c r="H78">
        <f>IFERROR(INDEX('All products'!$H$2:$H$109,MATCH(73,'All products'!$Q$2:$Q$109,0))&amp;"","")</f>
        <v/>
      </c>
      <c r="I78">
        <f>IFERROR(INDEX('All products'!$I$2:$I$109,MATCH(73,'All products'!$Q$2:$Q$109,0))&amp;"","")</f>
        <v/>
      </c>
      <c r="J78">
        <f>IFERROR(INDEX('All products'!$J$2:$J$109,MATCH(73,'All products'!$Q$2:$Q$109,0))&amp;"","")</f>
        <v/>
      </c>
      <c r="K78">
        <f>IFERROR(INDEX('All products'!$K$2:$K$109,MATCH(73,'All products'!$Q$2:$Q$109,0))&amp;"","")</f>
        <v/>
      </c>
      <c r="L78">
        <f>IFERROR(INDEX('All products'!$L$2:$L$109,MATCH(73,'All products'!$Q$2:$Q$109,0))&amp;"","")</f>
        <v/>
      </c>
      <c r="M78">
        <f>IFERROR(INDEX('All products'!$M$2:$M$109,MATCH(73,'All products'!$Q$2:$Q$109,0))&amp;"","")</f>
        <v/>
      </c>
      <c r="N78">
        <f>IFERROR(INDEX('All products'!$N$2:$N$109,MATCH(73,'All products'!$Q$2:$Q$109,0))&amp;"","")</f>
        <v/>
      </c>
      <c r="O78">
        <f>IFERROR(HYPERLINK(INDEX('All products'!$O$2:$O$109,MATCH(73,'All products'!$Q$2:$Q$109,0))),"")</f>
        <v/>
      </c>
    </row>
    <row r="79">
      <c r="A79">
        <f>IFERROR(INDEX('All products'!$A$2:$A$109,MATCH(74,'All products'!$Q$2:$Q$109,0))&amp;"","")</f>
        <v/>
      </c>
      <c r="B79">
        <f>IFERROR(INDEX('All products'!$B$2:$B$109,MATCH(74,'All products'!$Q$2:$Q$109,0))&amp;"","")</f>
        <v/>
      </c>
      <c r="C79">
        <f>IFERROR(INDEX('All products'!$C$2:$C$109,MATCH(74,'All products'!$Q$2:$Q$109,0))&amp;"","")</f>
        <v/>
      </c>
      <c r="D79">
        <f>IFERROR(INDEX('All products'!$D$2:$D$109,MATCH(74,'All products'!$Q$2:$Q$109,0))&amp;"","")</f>
        <v/>
      </c>
      <c r="E79">
        <f>IFERROR(INDEX('All products'!$E$2:$E$109,MATCH(74,'All products'!$Q$2:$Q$109,0))&amp;"","")</f>
        <v/>
      </c>
      <c r="F79">
        <f>IFERROR(INDEX('All products'!$F$2:$F$109,MATCH(74,'All products'!$Q$2:$Q$109,0))&amp;"","")</f>
        <v/>
      </c>
      <c r="G79">
        <f>IFERROR(INDEX('All products'!$G$2:$G$109,MATCH(74,'All products'!$Q$2:$Q$109,0))&amp;"","")</f>
        <v/>
      </c>
      <c r="H79">
        <f>IFERROR(INDEX('All products'!$H$2:$H$109,MATCH(74,'All products'!$Q$2:$Q$109,0))&amp;"","")</f>
        <v/>
      </c>
      <c r="I79">
        <f>IFERROR(INDEX('All products'!$I$2:$I$109,MATCH(74,'All products'!$Q$2:$Q$109,0))&amp;"","")</f>
        <v/>
      </c>
      <c r="J79">
        <f>IFERROR(INDEX('All products'!$J$2:$J$109,MATCH(74,'All products'!$Q$2:$Q$109,0))&amp;"","")</f>
        <v/>
      </c>
      <c r="K79">
        <f>IFERROR(INDEX('All products'!$K$2:$K$109,MATCH(74,'All products'!$Q$2:$Q$109,0))&amp;"","")</f>
        <v/>
      </c>
      <c r="L79">
        <f>IFERROR(INDEX('All products'!$L$2:$L$109,MATCH(74,'All products'!$Q$2:$Q$109,0))&amp;"","")</f>
        <v/>
      </c>
      <c r="M79">
        <f>IFERROR(INDEX('All products'!$M$2:$M$109,MATCH(74,'All products'!$Q$2:$Q$109,0))&amp;"","")</f>
        <v/>
      </c>
      <c r="N79">
        <f>IFERROR(INDEX('All products'!$N$2:$N$109,MATCH(74,'All products'!$Q$2:$Q$109,0))&amp;"","")</f>
        <v/>
      </c>
      <c r="O79">
        <f>IFERROR(HYPERLINK(INDEX('All products'!$O$2:$O$109,MATCH(74,'All products'!$Q$2:$Q$109,0))),"")</f>
        <v/>
      </c>
    </row>
    <row r="80">
      <c r="A80">
        <f>IFERROR(INDEX('All products'!$A$2:$A$109,MATCH(75,'All products'!$Q$2:$Q$109,0))&amp;"","")</f>
        <v/>
      </c>
      <c r="B80">
        <f>IFERROR(INDEX('All products'!$B$2:$B$109,MATCH(75,'All products'!$Q$2:$Q$109,0))&amp;"","")</f>
        <v/>
      </c>
      <c r="C80">
        <f>IFERROR(INDEX('All products'!$C$2:$C$109,MATCH(75,'All products'!$Q$2:$Q$109,0))&amp;"","")</f>
        <v/>
      </c>
      <c r="D80">
        <f>IFERROR(INDEX('All products'!$D$2:$D$109,MATCH(75,'All products'!$Q$2:$Q$109,0))&amp;"","")</f>
        <v/>
      </c>
      <c r="E80">
        <f>IFERROR(INDEX('All products'!$E$2:$E$109,MATCH(75,'All products'!$Q$2:$Q$109,0))&amp;"","")</f>
        <v/>
      </c>
      <c r="F80">
        <f>IFERROR(INDEX('All products'!$F$2:$F$109,MATCH(75,'All products'!$Q$2:$Q$109,0))&amp;"","")</f>
        <v/>
      </c>
      <c r="G80">
        <f>IFERROR(INDEX('All products'!$G$2:$G$109,MATCH(75,'All products'!$Q$2:$Q$109,0))&amp;"","")</f>
        <v/>
      </c>
      <c r="H80">
        <f>IFERROR(INDEX('All products'!$H$2:$H$109,MATCH(75,'All products'!$Q$2:$Q$109,0))&amp;"","")</f>
        <v/>
      </c>
      <c r="I80">
        <f>IFERROR(INDEX('All products'!$I$2:$I$109,MATCH(75,'All products'!$Q$2:$Q$109,0))&amp;"","")</f>
        <v/>
      </c>
      <c r="J80">
        <f>IFERROR(INDEX('All products'!$J$2:$J$109,MATCH(75,'All products'!$Q$2:$Q$109,0))&amp;"","")</f>
        <v/>
      </c>
      <c r="K80">
        <f>IFERROR(INDEX('All products'!$K$2:$K$109,MATCH(75,'All products'!$Q$2:$Q$109,0))&amp;"","")</f>
        <v/>
      </c>
      <c r="L80">
        <f>IFERROR(INDEX('All products'!$L$2:$L$109,MATCH(75,'All products'!$Q$2:$Q$109,0))&amp;"","")</f>
        <v/>
      </c>
      <c r="M80">
        <f>IFERROR(INDEX('All products'!$M$2:$M$109,MATCH(75,'All products'!$Q$2:$Q$109,0))&amp;"","")</f>
        <v/>
      </c>
      <c r="N80">
        <f>IFERROR(INDEX('All products'!$N$2:$N$109,MATCH(75,'All products'!$Q$2:$Q$109,0))&amp;"","")</f>
        <v/>
      </c>
      <c r="O80">
        <f>IFERROR(HYPERLINK(INDEX('All products'!$O$2:$O$109,MATCH(75,'All products'!$Q$2:$Q$109,0))),"")</f>
        <v/>
      </c>
    </row>
    <row r="81">
      <c r="A81">
        <f>IFERROR(INDEX('All products'!$A$2:$A$109,MATCH(76,'All products'!$Q$2:$Q$109,0))&amp;"","")</f>
        <v/>
      </c>
      <c r="B81">
        <f>IFERROR(INDEX('All products'!$B$2:$B$109,MATCH(76,'All products'!$Q$2:$Q$109,0))&amp;"","")</f>
        <v/>
      </c>
      <c r="C81">
        <f>IFERROR(INDEX('All products'!$C$2:$C$109,MATCH(76,'All products'!$Q$2:$Q$109,0))&amp;"","")</f>
        <v/>
      </c>
      <c r="D81">
        <f>IFERROR(INDEX('All products'!$D$2:$D$109,MATCH(76,'All products'!$Q$2:$Q$109,0))&amp;"","")</f>
        <v/>
      </c>
      <c r="E81">
        <f>IFERROR(INDEX('All products'!$E$2:$E$109,MATCH(76,'All products'!$Q$2:$Q$109,0))&amp;"","")</f>
        <v/>
      </c>
      <c r="F81">
        <f>IFERROR(INDEX('All products'!$F$2:$F$109,MATCH(76,'All products'!$Q$2:$Q$109,0))&amp;"","")</f>
        <v/>
      </c>
      <c r="G81">
        <f>IFERROR(INDEX('All products'!$G$2:$G$109,MATCH(76,'All products'!$Q$2:$Q$109,0))&amp;"","")</f>
        <v/>
      </c>
      <c r="H81">
        <f>IFERROR(INDEX('All products'!$H$2:$H$109,MATCH(76,'All products'!$Q$2:$Q$109,0))&amp;"","")</f>
        <v/>
      </c>
      <c r="I81">
        <f>IFERROR(INDEX('All products'!$I$2:$I$109,MATCH(76,'All products'!$Q$2:$Q$109,0))&amp;"","")</f>
        <v/>
      </c>
      <c r="J81">
        <f>IFERROR(INDEX('All products'!$J$2:$J$109,MATCH(76,'All products'!$Q$2:$Q$109,0))&amp;"","")</f>
        <v/>
      </c>
      <c r="K81">
        <f>IFERROR(INDEX('All products'!$K$2:$K$109,MATCH(76,'All products'!$Q$2:$Q$109,0))&amp;"","")</f>
        <v/>
      </c>
      <c r="L81">
        <f>IFERROR(INDEX('All products'!$L$2:$L$109,MATCH(76,'All products'!$Q$2:$Q$109,0))&amp;"","")</f>
        <v/>
      </c>
      <c r="M81">
        <f>IFERROR(INDEX('All products'!$M$2:$M$109,MATCH(76,'All products'!$Q$2:$Q$109,0))&amp;"","")</f>
        <v/>
      </c>
      <c r="N81">
        <f>IFERROR(INDEX('All products'!$N$2:$N$109,MATCH(76,'All products'!$Q$2:$Q$109,0))&amp;"","")</f>
        <v/>
      </c>
      <c r="O81">
        <f>IFERROR(HYPERLINK(INDEX('All products'!$O$2:$O$109,MATCH(76,'All products'!$Q$2:$Q$109,0))),"")</f>
        <v/>
      </c>
    </row>
    <row r="82">
      <c r="A82">
        <f>IFERROR(INDEX('All products'!$A$2:$A$109,MATCH(77,'All products'!$Q$2:$Q$109,0))&amp;"","")</f>
        <v/>
      </c>
      <c r="B82">
        <f>IFERROR(INDEX('All products'!$B$2:$B$109,MATCH(77,'All products'!$Q$2:$Q$109,0))&amp;"","")</f>
        <v/>
      </c>
      <c r="C82">
        <f>IFERROR(INDEX('All products'!$C$2:$C$109,MATCH(77,'All products'!$Q$2:$Q$109,0))&amp;"","")</f>
        <v/>
      </c>
      <c r="D82">
        <f>IFERROR(INDEX('All products'!$D$2:$D$109,MATCH(77,'All products'!$Q$2:$Q$109,0))&amp;"","")</f>
        <v/>
      </c>
      <c r="E82">
        <f>IFERROR(INDEX('All products'!$E$2:$E$109,MATCH(77,'All products'!$Q$2:$Q$109,0))&amp;"","")</f>
        <v/>
      </c>
      <c r="F82">
        <f>IFERROR(INDEX('All products'!$F$2:$F$109,MATCH(77,'All products'!$Q$2:$Q$109,0))&amp;"","")</f>
        <v/>
      </c>
      <c r="G82">
        <f>IFERROR(INDEX('All products'!$G$2:$G$109,MATCH(77,'All products'!$Q$2:$Q$109,0))&amp;"","")</f>
        <v/>
      </c>
      <c r="H82">
        <f>IFERROR(INDEX('All products'!$H$2:$H$109,MATCH(77,'All products'!$Q$2:$Q$109,0))&amp;"","")</f>
        <v/>
      </c>
      <c r="I82">
        <f>IFERROR(INDEX('All products'!$I$2:$I$109,MATCH(77,'All products'!$Q$2:$Q$109,0))&amp;"","")</f>
        <v/>
      </c>
      <c r="J82">
        <f>IFERROR(INDEX('All products'!$J$2:$J$109,MATCH(77,'All products'!$Q$2:$Q$109,0))&amp;"","")</f>
        <v/>
      </c>
      <c r="K82">
        <f>IFERROR(INDEX('All products'!$K$2:$K$109,MATCH(77,'All products'!$Q$2:$Q$109,0))&amp;"","")</f>
        <v/>
      </c>
      <c r="L82">
        <f>IFERROR(INDEX('All products'!$L$2:$L$109,MATCH(77,'All products'!$Q$2:$Q$109,0))&amp;"","")</f>
        <v/>
      </c>
      <c r="M82">
        <f>IFERROR(INDEX('All products'!$M$2:$M$109,MATCH(77,'All products'!$Q$2:$Q$109,0))&amp;"","")</f>
        <v/>
      </c>
      <c r="N82">
        <f>IFERROR(INDEX('All products'!$N$2:$N$109,MATCH(77,'All products'!$Q$2:$Q$109,0))&amp;"","")</f>
        <v/>
      </c>
      <c r="O82">
        <f>IFERROR(HYPERLINK(INDEX('All products'!$O$2:$O$109,MATCH(77,'All products'!$Q$2:$Q$109,0))),"")</f>
        <v/>
      </c>
    </row>
    <row r="83">
      <c r="A83">
        <f>IFERROR(INDEX('All products'!$A$2:$A$109,MATCH(78,'All products'!$Q$2:$Q$109,0))&amp;"","")</f>
        <v/>
      </c>
      <c r="B83">
        <f>IFERROR(INDEX('All products'!$B$2:$B$109,MATCH(78,'All products'!$Q$2:$Q$109,0))&amp;"","")</f>
        <v/>
      </c>
      <c r="C83">
        <f>IFERROR(INDEX('All products'!$C$2:$C$109,MATCH(78,'All products'!$Q$2:$Q$109,0))&amp;"","")</f>
        <v/>
      </c>
      <c r="D83">
        <f>IFERROR(INDEX('All products'!$D$2:$D$109,MATCH(78,'All products'!$Q$2:$Q$109,0))&amp;"","")</f>
        <v/>
      </c>
      <c r="E83">
        <f>IFERROR(INDEX('All products'!$E$2:$E$109,MATCH(78,'All products'!$Q$2:$Q$109,0))&amp;"","")</f>
        <v/>
      </c>
      <c r="F83">
        <f>IFERROR(INDEX('All products'!$F$2:$F$109,MATCH(78,'All products'!$Q$2:$Q$109,0))&amp;"","")</f>
        <v/>
      </c>
      <c r="G83">
        <f>IFERROR(INDEX('All products'!$G$2:$G$109,MATCH(78,'All products'!$Q$2:$Q$109,0))&amp;"","")</f>
        <v/>
      </c>
      <c r="H83">
        <f>IFERROR(INDEX('All products'!$H$2:$H$109,MATCH(78,'All products'!$Q$2:$Q$109,0))&amp;"","")</f>
        <v/>
      </c>
      <c r="I83">
        <f>IFERROR(INDEX('All products'!$I$2:$I$109,MATCH(78,'All products'!$Q$2:$Q$109,0))&amp;"","")</f>
        <v/>
      </c>
      <c r="J83">
        <f>IFERROR(INDEX('All products'!$J$2:$J$109,MATCH(78,'All products'!$Q$2:$Q$109,0))&amp;"","")</f>
        <v/>
      </c>
      <c r="K83">
        <f>IFERROR(INDEX('All products'!$K$2:$K$109,MATCH(78,'All products'!$Q$2:$Q$109,0))&amp;"","")</f>
        <v/>
      </c>
      <c r="L83">
        <f>IFERROR(INDEX('All products'!$L$2:$L$109,MATCH(78,'All products'!$Q$2:$Q$109,0))&amp;"","")</f>
        <v/>
      </c>
      <c r="M83">
        <f>IFERROR(INDEX('All products'!$M$2:$M$109,MATCH(78,'All products'!$Q$2:$Q$109,0))&amp;"","")</f>
        <v/>
      </c>
      <c r="N83">
        <f>IFERROR(INDEX('All products'!$N$2:$N$109,MATCH(78,'All products'!$Q$2:$Q$109,0))&amp;"","")</f>
        <v/>
      </c>
      <c r="O83">
        <f>IFERROR(HYPERLINK(INDEX('All products'!$O$2:$O$109,MATCH(78,'All products'!$Q$2:$Q$109,0))),"")</f>
        <v/>
      </c>
    </row>
    <row r="84">
      <c r="A84">
        <f>IFERROR(INDEX('All products'!$A$2:$A$109,MATCH(79,'All products'!$Q$2:$Q$109,0))&amp;"","")</f>
        <v/>
      </c>
      <c r="B84">
        <f>IFERROR(INDEX('All products'!$B$2:$B$109,MATCH(79,'All products'!$Q$2:$Q$109,0))&amp;"","")</f>
        <v/>
      </c>
      <c r="C84">
        <f>IFERROR(INDEX('All products'!$C$2:$C$109,MATCH(79,'All products'!$Q$2:$Q$109,0))&amp;"","")</f>
        <v/>
      </c>
      <c r="D84">
        <f>IFERROR(INDEX('All products'!$D$2:$D$109,MATCH(79,'All products'!$Q$2:$Q$109,0))&amp;"","")</f>
        <v/>
      </c>
      <c r="E84">
        <f>IFERROR(INDEX('All products'!$E$2:$E$109,MATCH(79,'All products'!$Q$2:$Q$109,0))&amp;"","")</f>
        <v/>
      </c>
      <c r="F84">
        <f>IFERROR(INDEX('All products'!$F$2:$F$109,MATCH(79,'All products'!$Q$2:$Q$109,0))&amp;"","")</f>
        <v/>
      </c>
      <c r="G84">
        <f>IFERROR(INDEX('All products'!$G$2:$G$109,MATCH(79,'All products'!$Q$2:$Q$109,0))&amp;"","")</f>
        <v/>
      </c>
      <c r="H84">
        <f>IFERROR(INDEX('All products'!$H$2:$H$109,MATCH(79,'All products'!$Q$2:$Q$109,0))&amp;"","")</f>
        <v/>
      </c>
      <c r="I84">
        <f>IFERROR(INDEX('All products'!$I$2:$I$109,MATCH(79,'All products'!$Q$2:$Q$109,0))&amp;"","")</f>
        <v/>
      </c>
      <c r="J84">
        <f>IFERROR(INDEX('All products'!$J$2:$J$109,MATCH(79,'All products'!$Q$2:$Q$109,0))&amp;"","")</f>
        <v/>
      </c>
      <c r="K84">
        <f>IFERROR(INDEX('All products'!$K$2:$K$109,MATCH(79,'All products'!$Q$2:$Q$109,0))&amp;"","")</f>
        <v/>
      </c>
      <c r="L84">
        <f>IFERROR(INDEX('All products'!$L$2:$L$109,MATCH(79,'All products'!$Q$2:$Q$109,0))&amp;"","")</f>
        <v/>
      </c>
      <c r="M84">
        <f>IFERROR(INDEX('All products'!$M$2:$M$109,MATCH(79,'All products'!$Q$2:$Q$109,0))&amp;"","")</f>
        <v/>
      </c>
      <c r="N84">
        <f>IFERROR(INDEX('All products'!$N$2:$N$109,MATCH(79,'All products'!$Q$2:$Q$109,0))&amp;"","")</f>
        <v/>
      </c>
      <c r="O84">
        <f>IFERROR(HYPERLINK(INDEX('All products'!$O$2:$O$109,MATCH(79,'All products'!$Q$2:$Q$109,0))),"")</f>
        <v/>
      </c>
    </row>
    <row r="85">
      <c r="A85">
        <f>IFERROR(INDEX('All products'!$A$2:$A$109,MATCH(80,'All products'!$Q$2:$Q$109,0))&amp;"","")</f>
        <v/>
      </c>
      <c r="B85">
        <f>IFERROR(INDEX('All products'!$B$2:$B$109,MATCH(80,'All products'!$Q$2:$Q$109,0))&amp;"","")</f>
        <v/>
      </c>
      <c r="C85">
        <f>IFERROR(INDEX('All products'!$C$2:$C$109,MATCH(80,'All products'!$Q$2:$Q$109,0))&amp;"","")</f>
        <v/>
      </c>
      <c r="D85">
        <f>IFERROR(INDEX('All products'!$D$2:$D$109,MATCH(80,'All products'!$Q$2:$Q$109,0))&amp;"","")</f>
        <v/>
      </c>
      <c r="E85">
        <f>IFERROR(INDEX('All products'!$E$2:$E$109,MATCH(80,'All products'!$Q$2:$Q$109,0))&amp;"","")</f>
        <v/>
      </c>
      <c r="F85">
        <f>IFERROR(INDEX('All products'!$F$2:$F$109,MATCH(80,'All products'!$Q$2:$Q$109,0))&amp;"","")</f>
        <v/>
      </c>
      <c r="G85">
        <f>IFERROR(INDEX('All products'!$G$2:$G$109,MATCH(80,'All products'!$Q$2:$Q$109,0))&amp;"","")</f>
        <v/>
      </c>
      <c r="H85">
        <f>IFERROR(INDEX('All products'!$H$2:$H$109,MATCH(80,'All products'!$Q$2:$Q$109,0))&amp;"","")</f>
        <v/>
      </c>
      <c r="I85">
        <f>IFERROR(INDEX('All products'!$I$2:$I$109,MATCH(80,'All products'!$Q$2:$Q$109,0))&amp;"","")</f>
        <v/>
      </c>
      <c r="J85">
        <f>IFERROR(INDEX('All products'!$J$2:$J$109,MATCH(80,'All products'!$Q$2:$Q$109,0))&amp;"","")</f>
        <v/>
      </c>
      <c r="K85">
        <f>IFERROR(INDEX('All products'!$K$2:$K$109,MATCH(80,'All products'!$Q$2:$Q$109,0))&amp;"","")</f>
        <v/>
      </c>
      <c r="L85">
        <f>IFERROR(INDEX('All products'!$L$2:$L$109,MATCH(80,'All products'!$Q$2:$Q$109,0))&amp;"","")</f>
        <v/>
      </c>
      <c r="M85">
        <f>IFERROR(INDEX('All products'!$M$2:$M$109,MATCH(80,'All products'!$Q$2:$Q$109,0))&amp;"","")</f>
        <v/>
      </c>
      <c r="N85">
        <f>IFERROR(INDEX('All products'!$N$2:$N$109,MATCH(80,'All products'!$Q$2:$Q$109,0))&amp;"","")</f>
        <v/>
      </c>
      <c r="O85">
        <f>IFERROR(HYPERLINK(INDEX('All products'!$O$2:$O$109,MATCH(80,'All products'!$Q$2:$Q$109,0))),"")</f>
        <v/>
      </c>
    </row>
    <row r="86">
      <c r="A86">
        <f>IFERROR(INDEX('All products'!$A$2:$A$109,MATCH(81,'All products'!$Q$2:$Q$109,0))&amp;"","")</f>
        <v/>
      </c>
      <c r="B86">
        <f>IFERROR(INDEX('All products'!$B$2:$B$109,MATCH(81,'All products'!$Q$2:$Q$109,0))&amp;"","")</f>
        <v/>
      </c>
      <c r="C86">
        <f>IFERROR(INDEX('All products'!$C$2:$C$109,MATCH(81,'All products'!$Q$2:$Q$109,0))&amp;"","")</f>
        <v/>
      </c>
      <c r="D86">
        <f>IFERROR(INDEX('All products'!$D$2:$D$109,MATCH(81,'All products'!$Q$2:$Q$109,0))&amp;"","")</f>
        <v/>
      </c>
      <c r="E86">
        <f>IFERROR(INDEX('All products'!$E$2:$E$109,MATCH(81,'All products'!$Q$2:$Q$109,0))&amp;"","")</f>
        <v/>
      </c>
      <c r="F86">
        <f>IFERROR(INDEX('All products'!$F$2:$F$109,MATCH(81,'All products'!$Q$2:$Q$109,0))&amp;"","")</f>
        <v/>
      </c>
      <c r="G86">
        <f>IFERROR(INDEX('All products'!$G$2:$G$109,MATCH(81,'All products'!$Q$2:$Q$109,0))&amp;"","")</f>
        <v/>
      </c>
      <c r="H86">
        <f>IFERROR(INDEX('All products'!$H$2:$H$109,MATCH(81,'All products'!$Q$2:$Q$109,0))&amp;"","")</f>
        <v/>
      </c>
      <c r="I86">
        <f>IFERROR(INDEX('All products'!$I$2:$I$109,MATCH(81,'All products'!$Q$2:$Q$109,0))&amp;"","")</f>
        <v/>
      </c>
      <c r="J86">
        <f>IFERROR(INDEX('All products'!$J$2:$J$109,MATCH(81,'All products'!$Q$2:$Q$109,0))&amp;"","")</f>
        <v/>
      </c>
      <c r="K86">
        <f>IFERROR(INDEX('All products'!$K$2:$K$109,MATCH(81,'All products'!$Q$2:$Q$109,0))&amp;"","")</f>
        <v/>
      </c>
      <c r="L86">
        <f>IFERROR(INDEX('All products'!$L$2:$L$109,MATCH(81,'All products'!$Q$2:$Q$109,0))&amp;"","")</f>
        <v/>
      </c>
      <c r="M86">
        <f>IFERROR(INDEX('All products'!$M$2:$M$109,MATCH(81,'All products'!$Q$2:$Q$109,0))&amp;"","")</f>
        <v/>
      </c>
      <c r="N86">
        <f>IFERROR(INDEX('All products'!$N$2:$N$109,MATCH(81,'All products'!$Q$2:$Q$109,0))&amp;"","")</f>
        <v/>
      </c>
      <c r="O86">
        <f>IFERROR(HYPERLINK(INDEX('All products'!$O$2:$O$109,MATCH(81,'All products'!$Q$2:$Q$109,0))),"")</f>
        <v/>
      </c>
    </row>
    <row r="87">
      <c r="A87">
        <f>IFERROR(INDEX('All products'!$A$2:$A$109,MATCH(82,'All products'!$Q$2:$Q$109,0))&amp;"","")</f>
        <v/>
      </c>
      <c r="B87">
        <f>IFERROR(INDEX('All products'!$B$2:$B$109,MATCH(82,'All products'!$Q$2:$Q$109,0))&amp;"","")</f>
        <v/>
      </c>
      <c r="C87">
        <f>IFERROR(INDEX('All products'!$C$2:$C$109,MATCH(82,'All products'!$Q$2:$Q$109,0))&amp;"","")</f>
        <v/>
      </c>
      <c r="D87">
        <f>IFERROR(INDEX('All products'!$D$2:$D$109,MATCH(82,'All products'!$Q$2:$Q$109,0))&amp;"","")</f>
        <v/>
      </c>
      <c r="E87">
        <f>IFERROR(INDEX('All products'!$E$2:$E$109,MATCH(82,'All products'!$Q$2:$Q$109,0))&amp;"","")</f>
        <v/>
      </c>
      <c r="F87">
        <f>IFERROR(INDEX('All products'!$F$2:$F$109,MATCH(82,'All products'!$Q$2:$Q$109,0))&amp;"","")</f>
        <v/>
      </c>
      <c r="G87">
        <f>IFERROR(INDEX('All products'!$G$2:$G$109,MATCH(82,'All products'!$Q$2:$Q$109,0))&amp;"","")</f>
        <v/>
      </c>
      <c r="H87">
        <f>IFERROR(INDEX('All products'!$H$2:$H$109,MATCH(82,'All products'!$Q$2:$Q$109,0))&amp;"","")</f>
        <v/>
      </c>
      <c r="I87">
        <f>IFERROR(INDEX('All products'!$I$2:$I$109,MATCH(82,'All products'!$Q$2:$Q$109,0))&amp;"","")</f>
        <v/>
      </c>
      <c r="J87">
        <f>IFERROR(INDEX('All products'!$J$2:$J$109,MATCH(82,'All products'!$Q$2:$Q$109,0))&amp;"","")</f>
        <v/>
      </c>
      <c r="K87">
        <f>IFERROR(INDEX('All products'!$K$2:$K$109,MATCH(82,'All products'!$Q$2:$Q$109,0))&amp;"","")</f>
        <v/>
      </c>
      <c r="L87">
        <f>IFERROR(INDEX('All products'!$L$2:$L$109,MATCH(82,'All products'!$Q$2:$Q$109,0))&amp;"","")</f>
        <v/>
      </c>
      <c r="M87">
        <f>IFERROR(INDEX('All products'!$M$2:$M$109,MATCH(82,'All products'!$Q$2:$Q$109,0))&amp;"","")</f>
        <v/>
      </c>
      <c r="N87">
        <f>IFERROR(INDEX('All products'!$N$2:$N$109,MATCH(82,'All products'!$Q$2:$Q$109,0))&amp;"","")</f>
        <v/>
      </c>
      <c r="O87">
        <f>IFERROR(HYPERLINK(INDEX('All products'!$O$2:$O$109,MATCH(82,'All products'!$Q$2:$Q$109,0))),"")</f>
        <v/>
      </c>
    </row>
    <row r="88">
      <c r="A88">
        <f>IFERROR(INDEX('All products'!$A$2:$A$109,MATCH(83,'All products'!$Q$2:$Q$109,0))&amp;"","")</f>
        <v/>
      </c>
      <c r="B88">
        <f>IFERROR(INDEX('All products'!$B$2:$B$109,MATCH(83,'All products'!$Q$2:$Q$109,0))&amp;"","")</f>
        <v/>
      </c>
      <c r="C88">
        <f>IFERROR(INDEX('All products'!$C$2:$C$109,MATCH(83,'All products'!$Q$2:$Q$109,0))&amp;"","")</f>
        <v/>
      </c>
      <c r="D88">
        <f>IFERROR(INDEX('All products'!$D$2:$D$109,MATCH(83,'All products'!$Q$2:$Q$109,0))&amp;"","")</f>
        <v/>
      </c>
      <c r="E88">
        <f>IFERROR(INDEX('All products'!$E$2:$E$109,MATCH(83,'All products'!$Q$2:$Q$109,0))&amp;"","")</f>
        <v/>
      </c>
      <c r="F88">
        <f>IFERROR(INDEX('All products'!$F$2:$F$109,MATCH(83,'All products'!$Q$2:$Q$109,0))&amp;"","")</f>
        <v/>
      </c>
      <c r="G88">
        <f>IFERROR(INDEX('All products'!$G$2:$G$109,MATCH(83,'All products'!$Q$2:$Q$109,0))&amp;"","")</f>
        <v/>
      </c>
      <c r="H88">
        <f>IFERROR(INDEX('All products'!$H$2:$H$109,MATCH(83,'All products'!$Q$2:$Q$109,0))&amp;"","")</f>
        <v/>
      </c>
      <c r="I88">
        <f>IFERROR(INDEX('All products'!$I$2:$I$109,MATCH(83,'All products'!$Q$2:$Q$109,0))&amp;"","")</f>
        <v/>
      </c>
      <c r="J88">
        <f>IFERROR(INDEX('All products'!$J$2:$J$109,MATCH(83,'All products'!$Q$2:$Q$109,0))&amp;"","")</f>
        <v/>
      </c>
      <c r="K88">
        <f>IFERROR(INDEX('All products'!$K$2:$K$109,MATCH(83,'All products'!$Q$2:$Q$109,0))&amp;"","")</f>
        <v/>
      </c>
      <c r="L88">
        <f>IFERROR(INDEX('All products'!$L$2:$L$109,MATCH(83,'All products'!$Q$2:$Q$109,0))&amp;"","")</f>
        <v/>
      </c>
      <c r="M88">
        <f>IFERROR(INDEX('All products'!$M$2:$M$109,MATCH(83,'All products'!$Q$2:$Q$109,0))&amp;"","")</f>
        <v/>
      </c>
      <c r="N88">
        <f>IFERROR(INDEX('All products'!$N$2:$N$109,MATCH(83,'All products'!$Q$2:$Q$109,0))&amp;"","")</f>
        <v/>
      </c>
      <c r="O88">
        <f>IFERROR(HYPERLINK(INDEX('All products'!$O$2:$O$109,MATCH(83,'All products'!$Q$2:$Q$109,0))),"")</f>
        <v/>
      </c>
    </row>
    <row r="89">
      <c r="A89">
        <f>IFERROR(INDEX('All products'!$A$2:$A$109,MATCH(84,'All products'!$Q$2:$Q$109,0))&amp;"","")</f>
        <v/>
      </c>
      <c r="B89">
        <f>IFERROR(INDEX('All products'!$B$2:$B$109,MATCH(84,'All products'!$Q$2:$Q$109,0))&amp;"","")</f>
        <v/>
      </c>
      <c r="C89">
        <f>IFERROR(INDEX('All products'!$C$2:$C$109,MATCH(84,'All products'!$Q$2:$Q$109,0))&amp;"","")</f>
        <v/>
      </c>
      <c r="D89">
        <f>IFERROR(INDEX('All products'!$D$2:$D$109,MATCH(84,'All products'!$Q$2:$Q$109,0))&amp;"","")</f>
        <v/>
      </c>
      <c r="E89">
        <f>IFERROR(INDEX('All products'!$E$2:$E$109,MATCH(84,'All products'!$Q$2:$Q$109,0))&amp;"","")</f>
        <v/>
      </c>
      <c r="F89">
        <f>IFERROR(INDEX('All products'!$F$2:$F$109,MATCH(84,'All products'!$Q$2:$Q$109,0))&amp;"","")</f>
        <v/>
      </c>
      <c r="G89">
        <f>IFERROR(INDEX('All products'!$G$2:$G$109,MATCH(84,'All products'!$Q$2:$Q$109,0))&amp;"","")</f>
        <v/>
      </c>
      <c r="H89">
        <f>IFERROR(INDEX('All products'!$H$2:$H$109,MATCH(84,'All products'!$Q$2:$Q$109,0))&amp;"","")</f>
        <v/>
      </c>
      <c r="I89">
        <f>IFERROR(INDEX('All products'!$I$2:$I$109,MATCH(84,'All products'!$Q$2:$Q$109,0))&amp;"","")</f>
        <v/>
      </c>
      <c r="J89">
        <f>IFERROR(INDEX('All products'!$J$2:$J$109,MATCH(84,'All products'!$Q$2:$Q$109,0))&amp;"","")</f>
        <v/>
      </c>
      <c r="K89">
        <f>IFERROR(INDEX('All products'!$K$2:$K$109,MATCH(84,'All products'!$Q$2:$Q$109,0))&amp;"","")</f>
        <v/>
      </c>
      <c r="L89">
        <f>IFERROR(INDEX('All products'!$L$2:$L$109,MATCH(84,'All products'!$Q$2:$Q$109,0))&amp;"","")</f>
        <v/>
      </c>
      <c r="M89">
        <f>IFERROR(INDEX('All products'!$M$2:$M$109,MATCH(84,'All products'!$Q$2:$Q$109,0))&amp;"","")</f>
        <v/>
      </c>
      <c r="N89">
        <f>IFERROR(INDEX('All products'!$N$2:$N$109,MATCH(84,'All products'!$Q$2:$Q$109,0))&amp;"","")</f>
        <v/>
      </c>
      <c r="O89">
        <f>IFERROR(HYPERLINK(INDEX('All products'!$O$2:$O$109,MATCH(84,'All products'!$Q$2:$Q$109,0))),"")</f>
        <v/>
      </c>
    </row>
    <row r="90">
      <c r="A90">
        <f>IFERROR(INDEX('All products'!$A$2:$A$109,MATCH(85,'All products'!$Q$2:$Q$109,0))&amp;"","")</f>
        <v/>
      </c>
      <c r="B90">
        <f>IFERROR(INDEX('All products'!$B$2:$B$109,MATCH(85,'All products'!$Q$2:$Q$109,0))&amp;"","")</f>
        <v/>
      </c>
      <c r="C90">
        <f>IFERROR(INDEX('All products'!$C$2:$C$109,MATCH(85,'All products'!$Q$2:$Q$109,0))&amp;"","")</f>
        <v/>
      </c>
      <c r="D90">
        <f>IFERROR(INDEX('All products'!$D$2:$D$109,MATCH(85,'All products'!$Q$2:$Q$109,0))&amp;"","")</f>
        <v/>
      </c>
      <c r="E90">
        <f>IFERROR(INDEX('All products'!$E$2:$E$109,MATCH(85,'All products'!$Q$2:$Q$109,0))&amp;"","")</f>
        <v/>
      </c>
      <c r="F90">
        <f>IFERROR(INDEX('All products'!$F$2:$F$109,MATCH(85,'All products'!$Q$2:$Q$109,0))&amp;"","")</f>
        <v/>
      </c>
      <c r="G90">
        <f>IFERROR(INDEX('All products'!$G$2:$G$109,MATCH(85,'All products'!$Q$2:$Q$109,0))&amp;"","")</f>
        <v/>
      </c>
      <c r="H90">
        <f>IFERROR(INDEX('All products'!$H$2:$H$109,MATCH(85,'All products'!$Q$2:$Q$109,0))&amp;"","")</f>
        <v/>
      </c>
      <c r="I90">
        <f>IFERROR(INDEX('All products'!$I$2:$I$109,MATCH(85,'All products'!$Q$2:$Q$109,0))&amp;"","")</f>
        <v/>
      </c>
      <c r="J90">
        <f>IFERROR(INDEX('All products'!$J$2:$J$109,MATCH(85,'All products'!$Q$2:$Q$109,0))&amp;"","")</f>
        <v/>
      </c>
      <c r="K90">
        <f>IFERROR(INDEX('All products'!$K$2:$K$109,MATCH(85,'All products'!$Q$2:$Q$109,0))&amp;"","")</f>
        <v/>
      </c>
      <c r="L90">
        <f>IFERROR(INDEX('All products'!$L$2:$L$109,MATCH(85,'All products'!$Q$2:$Q$109,0))&amp;"","")</f>
        <v/>
      </c>
      <c r="M90">
        <f>IFERROR(INDEX('All products'!$M$2:$M$109,MATCH(85,'All products'!$Q$2:$Q$109,0))&amp;"","")</f>
        <v/>
      </c>
      <c r="N90">
        <f>IFERROR(INDEX('All products'!$N$2:$N$109,MATCH(85,'All products'!$Q$2:$Q$109,0))&amp;"","")</f>
        <v/>
      </c>
      <c r="O90">
        <f>IFERROR(HYPERLINK(INDEX('All products'!$O$2:$O$109,MATCH(85,'All products'!$Q$2:$Q$109,0))),"")</f>
        <v/>
      </c>
    </row>
    <row r="91">
      <c r="A91">
        <f>IFERROR(INDEX('All products'!$A$2:$A$109,MATCH(86,'All products'!$Q$2:$Q$109,0))&amp;"","")</f>
        <v/>
      </c>
      <c r="B91">
        <f>IFERROR(INDEX('All products'!$B$2:$B$109,MATCH(86,'All products'!$Q$2:$Q$109,0))&amp;"","")</f>
        <v/>
      </c>
      <c r="C91">
        <f>IFERROR(INDEX('All products'!$C$2:$C$109,MATCH(86,'All products'!$Q$2:$Q$109,0))&amp;"","")</f>
        <v/>
      </c>
      <c r="D91">
        <f>IFERROR(INDEX('All products'!$D$2:$D$109,MATCH(86,'All products'!$Q$2:$Q$109,0))&amp;"","")</f>
        <v/>
      </c>
      <c r="E91">
        <f>IFERROR(INDEX('All products'!$E$2:$E$109,MATCH(86,'All products'!$Q$2:$Q$109,0))&amp;"","")</f>
        <v/>
      </c>
      <c r="F91">
        <f>IFERROR(INDEX('All products'!$F$2:$F$109,MATCH(86,'All products'!$Q$2:$Q$109,0))&amp;"","")</f>
        <v/>
      </c>
      <c r="G91">
        <f>IFERROR(INDEX('All products'!$G$2:$G$109,MATCH(86,'All products'!$Q$2:$Q$109,0))&amp;"","")</f>
        <v/>
      </c>
      <c r="H91">
        <f>IFERROR(INDEX('All products'!$H$2:$H$109,MATCH(86,'All products'!$Q$2:$Q$109,0))&amp;"","")</f>
        <v/>
      </c>
      <c r="I91">
        <f>IFERROR(INDEX('All products'!$I$2:$I$109,MATCH(86,'All products'!$Q$2:$Q$109,0))&amp;"","")</f>
        <v/>
      </c>
      <c r="J91">
        <f>IFERROR(INDEX('All products'!$J$2:$J$109,MATCH(86,'All products'!$Q$2:$Q$109,0))&amp;"","")</f>
        <v/>
      </c>
      <c r="K91">
        <f>IFERROR(INDEX('All products'!$K$2:$K$109,MATCH(86,'All products'!$Q$2:$Q$109,0))&amp;"","")</f>
        <v/>
      </c>
      <c r="L91">
        <f>IFERROR(INDEX('All products'!$L$2:$L$109,MATCH(86,'All products'!$Q$2:$Q$109,0))&amp;"","")</f>
        <v/>
      </c>
      <c r="M91">
        <f>IFERROR(INDEX('All products'!$M$2:$M$109,MATCH(86,'All products'!$Q$2:$Q$109,0))&amp;"","")</f>
        <v/>
      </c>
      <c r="N91">
        <f>IFERROR(INDEX('All products'!$N$2:$N$109,MATCH(86,'All products'!$Q$2:$Q$109,0))&amp;"","")</f>
        <v/>
      </c>
      <c r="O91">
        <f>IFERROR(HYPERLINK(INDEX('All products'!$O$2:$O$109,MATCH(86,'All products'!$Q$2:$Q$109,0))),"")</f>
        <v/>
      </c>
    </row>
    <row r="92">
      <c r="A92">
        <f>IFERROR(INDEX('All products'!$A$2:$A$109,MATCH(87,'All products'!$Q$2:$Q$109,0))&amp;"","")</f>
        <v/>
      </c>
      <c r="B92">
        <f>IFERROR(INDEX('All products'!$B$2:$B$109,MATCH(87,'All products'!$Q$2:$Q$109,0))&amp;"","")</f>
        <v/>
      </c>
      <c r="C92">
        <f>IFERROR(INDEX('All products'!$C$2:$C$109,MATCH(87,'All products'!$Q$2:$Q$109,0))&amp;"","")</f>
        <v/>
      </c>
      <c r="D92">
        <f>IFERROR(INDEX('All products'!$D$2:$D$109,MATCH(87,'All products'!$Q$2:$Q$109,0))&amp;"","")</f>
        <v/>
      </c>
      <c r="E92">
        <f>IFERROR(INDEX('All products'!$E$2:$E$109,MATCH(87,'All products'!$Q$2:$Q$109,0))&amp;"","")</f>
        <v/>
      </c>
      <c r="F92">
        <f>IFERROR(INDEX('All products'!$F$2:$F$109,MATCH(87,'All products'!$Q$2:$Q$109,0))&amp;"","")</f>
        <v/>
      </c>
      <c r="G92">
        <f>IFERROR(INDEX('All products'!$G$2:$G$109,MATCH(87,'All products'!$Q$2:$Q$109,0))&amp;"","")</f>
        <v/>
      </c>
      <c r="H92">
        <f>IFERROR(INDEX('All products'!$H$2:$H$109,MATCH(87,'All products'!$Q$2:$Q$109,0))&amp;"","")</f>
        <v/>
      </c>
      <c r="I92">
        <f>IFERROR(INDEX('All products'!$I$2:$I$109,MATCH(87,'All products'!$Q$2:$Q$109,0))&amp;"","")</f>
        <v/>
      </c>
      <c r="J92">
        <f>IFERROR(INDEX('All products'!$J$2:$J$109,MATCH(87,'All products'!$Q$2:$Q$109,0))&amp;"","")</f>
        <v/>
      </c>
      <c r="K92">
        <f>IFERROR(INDEX('All products'!$K$2:$K$109,MATCH(87,'All products'!$Q$2:$Q$109,0))&amp;"","")</f>
        <v/>
      </c>
      <c r="L92">
        <f>IFERROR(INDEX('All products'!$L$2:$L$109,MATCH(87,'All products'!$Q$2:$Q$109,0))&amp;"","")</f>
        <v/>
      </c>
      <c r="M92">
        <f>IFERROR(INDEX('All products'!$M$2:$M$109,MATCH(87,'All products'!$Q$2:$Q$109,0))&amp;"","")</f>
        <v/>
      </c>
      <c r="N92">
        <f>IFERROR(INDEX('All products'!$N$2:$N$109,MATCH(87,'All products'!$Q$2:$Q$109,0))&amp;"","")</f>
        <v/>
      </c>
      <c r="O92">
        <f>IFERROR(HYPERLINK(INDEX('All products'!$O$2:$O$109,MATCH(87,'All products'!$Q$2:$Q$109,0))),"")</f>
        <v/>
      </c>
    </row>
    <row r="93">
      <c r="A93">
        <f>IFERROR(INDEX('All products'!$A$2:$A$109,MATCH(88,'All products'!$Q$2:$Q$109,0))&amp;"","")</f>
        <v/>
      </c>
      <c r="B93">
        <f>IFERROR(INDEX('All products'!$B$2:$B$109,MATCH(88,'All products'!$Q$2:$Q$109,0))&amp;"","")</f>
        <v/>
      </c>
      <c r="C93">
        <f>IFERROR(INDEX('All products'!$C$2:$C$109,MATCH(88,'All products'!$Q$2:$Q$109,0))&amp;"","")</f>
        <v/>
      </c>
      <c r="D93">
        <f>IFERROR(INDEX('All products'!$D$2:$D$109,MATCH(88,'All products'!$Q$2:$Q$109,0))&amp;"","")</f>
        <v/>
      </c>
      <c r="E93">
        <f>IFERROR(INDEX('All products'!$E$2:$E$109,MATCH(88,'All products'!$Q$2:$Q$109,0))&amp;"","")</f>
        <v/>
      </c>
      <c r="F93">
        <f>IFERROR(INDEX('All products'!$F$2:$F$109,MATCH(88,'All products'!$Q$2:$Q$109,0))&amp;"","")</f>
        <v/>
      </c>
      <c r="G93">
        <f>IFERROR(INDEX('All products'!$G$2:$G$109,MATCH(88,'All products'!$Q$2:$Q$109,0))&amp;"","")</f>
        <v/>
      </c>
      <c r="H93">
        <f>IFERROR(INDEX('All products'!$H$2:$H$109,MATCH(88,'All products'!$Q$2:$Q$109,0))&amp;"","")</f>
        <v/>
      </c>
      <c r="I93">
        <f>IFERROR(INDEX('All products'!$I$2:$I$109,MATCH(88,'All products'!$Q$2:$Q$109,0))&amp;"","")</f>
        <v/>
      </c>
      <c r="J93">
        <f>IFERROR(INDEX('All products'!$J$2:$J$109,MATCH(88,'All products'!$Q$2:$Q$109,0))&amp;"","")</f>
        <v/>
      </c>
      <c r="K93">
        <f>IFERROR(INDEX('All products'!$K$2:$K$109,MATCH(88,'All products'!$Q$2:$Q$109,0))&amp;"","")</f>
        <v/>
      </c>
      <c r="L93">
        <f>IFERROR(INDEX('All products'!$L$2:$L$109,MATCH(88,'All products'!$Q$2:$Q$109,0))&amp;"","")</f>
        <v/>
      </c>
      <c r="M93">
        <f>IFERROR(INDEX('All products'!$M$2:$M$109,MATCH(88,'All products'!$Q$2:$Q$109,0))&amp;"","")</f>
        <v/>
      </c>
      <c r="N93">
        <f>IFERROR(INDEX('All products'!$N$2:$N$109,MATCH(88,'All products'!$Q$2:$Q$109,0))&amp;"","")</f>
        <v/>
      </c>
      <c r="O93">
        <f>IFERROR(HYPERLINK(INDEX('All products'!$O$2:$O$109,MATCH(88,'All products'!$Q$2:$Q$109,0))),"")</f>
        <v/>
      </c>
    </row>
    <row r="94">
      <c r="A94">
        <f>IFERROR(INDEX('All products'!$A$2:$A$109,MATCH(89,'All products'!$Q$2:$Q$109,0))&amp;"","")</f>
        <v/>
      </c>
      <c r="B94">
        <f>IFERROR(INDEX('All products'!$B$2:$B$109,MATCH(89,'All products'!$Q$2:$Q$109,0))&amp;"","")</f>
        <v/>
      </c>
      <c r="C94">
        <f>IFERROR(INDEX('All products'!$C$2:$C$109,MATCH(89,'All products'!$Q$2:$Q$109,0))&amp;"","")</f>
        <v/>
      </c>
      <c r="D94">
        <f>IFERROR(INDEX('All products'!$D$2:$D$109,MATCH(89,'All products'!$Q$2:$Q$109,0))&amp;"","")</f>
        <v/>
      </c>
      <c r="E94">
        <f>IFERROR(INDEX('All products'!$E$2:$E$109,MATCH(89,'All products'!$Q$2:$Q$109,0))&amp;"","")</f>
        <v/>
      </c>
      <c r="F94">
        <f>IFERROR(INDEX('All products'!$F$2:$F$109,MATCH(89,'All products'!$Q$2:$Q$109,0))&amp;"","")</f>
        <v/>
      </c>
      <c r="G94">
        <f>IFERROR(INDEX('All products'!$G$2:$G$109,MATCH(89,'All products'!$Q$2:$Q$109,0))&amp;"","")</f>
        <v/>
      </c>
      <c r="H94">
        <f>IFERROR(INDEX('All products'!$H$2:$H$109,MATCH(89,'All products'!$Q$2:$Q$109,0))&amp;"","")</f>
        <v/>
      </c>
      <c r="I94">
        <f>IFERROR(INDEX('All products'!$I$2:$I$109,MATCH(89,'All products'!$Q$2:$Q$109,0))&amp;"","")</f>
        <v/>
      </c>
      <c r="J94">
        <f>IFERROR(INDEX('All products'!$J$2:$J$109,MATCH(89,'All products'!$Q$2:$Q$109,0))&amp;"","")</f>
        <v/>
      </c>
      <c r="K94">
        <f>IFERROR(INDEX('All products'!$K$2:$K$109,MATCH(89,'All products'!$Q$2:$Q$109,0))&amp;"","")</f>
        <v/>
      </c>
      <c r="L94">
        <f>IFERROR(INDEX('All products'!$L$2:$L$109,MATCH(89,'All products'!$Q$2:$Q$109,0))&amp;"","")</f>
        <v/>
      </c>
      <c r="M94">
        <f>IFERROR(INDEX('All products'!$M$2:$M$109,MATCH(89,'All products'!$Q$2:$Q$109,0))&amp;"","")</f>
        <v/>
      </c>
      <c r="N94">
        <f>IFERROR(INDEX('All products'!$N$2:$N$109,MATCH(89,'All products'!$Q$2:$Q$109,0))&amp;"","")</f>
        <v/>
      </c>
      <c r="O94">
        <f>IFERROR(HYPERLINK(INDEX('All products'!$O$2:$O$109,MATCH(89,'All products'!$Q$2:$Q$109,0))),"")</f>
        <v/>
      </c>
    </row>
    <row r="95">
      <c r="A95">
        <f>IFERROR(INDEX('All products'!$A$2:$A$109,MATCH(90,'All products'!$Q$2:$Q$109,0))&amp;"","")</f>
        <v/>
      </c>
      <c r="B95">
        <f>IFERROR(INDEX('All products'!$B$2:$B$109,MATCH(90,'All products'!$Q$2:$Q$109,0))&amp;"","")</f>
        <v/>
      </c>
      <c r="C95">
        <f>IFERROR(INDEX('All products'!$C$2:$C$109,MATCH(90,'All products'!$Q$2:$Q$109,0))&amp;"","")</f>
        <v/>
      </c>
      <c r="D95">
        <f>IFERROR(INDEX('All products'!$D$2:$D$109,MATCH(90,'All products'!$Q$2:$Q$109,0))&amp;"","")</f>
        <v/>
      </c>
      <c r="E95">
        <f>IFERROR(INDEX('All products'!$E$2:$E$109,MATCH(90,'All products'!$Q$2:$Q$109,0))&amp;"","")</f>
        <v/>
      </c>
      <c r="F95">
        <f>IFERROR(INDEX('All products'!$F$2:$F$109,MATCH(90,'All products'!$Q$2:$Q$109,0))&amp;"","")</f>
        <v/>
      </c>
      <c r="G95">
        <f>IFERROR(INDEX('All products'!$G$2:$G$109,MATCH(90,'All products'!$Q$2:$Q$109,0))&amp;"","")</f>
        <v/>
      </c>
      <c r="H95">
        <f>IFERROR(INDEX('All products'!$H$2:$H$109,MATCH(90,'All products'!$Q$2:$Q$109,0))&amp;"","")</f>
        <v/>
      </c>
      <c r="I95">
        <f>IFERROR(INDEX('All products'!$I$2:$I$109,MATCH(90,'All products'!$Q$2:$Q$109,0))&amp;"","")</f>
        <v/>
      </c>
      <c r="J95">
        <f>IFERROR(INDEX('All products'!$J$2:$J$109,MATCH(90,'All products'!$Q$2:$Q$109,0))&amp;"","")</f>
        <v/>
      </c>
      <c r="K95">
        <f>IFERROR(INDEX('All products'!$K$2:$K$109,MATCH(90,'All products'!$Q$2:$Q$109,0))&amp;"","")</f>
        <v/>
      </c>
      <c r="L95">
        <f>IFERROR(INDEX('All products'!$L$2:$L$109,MATCH(90,'All products'!$Q$2:$Q$109,0))&amp;"","")</f>
        <v/>
      </c>
      <c r="M95">
        <f>IFERROR(INDEX('All products'!$M$2:$M$109,MATCH(90,'All products'!$Q$2:$Q$109,0))&amp;"","")</f>
        <v/>
      </c>
      <c r="N95">
        <f>IFERROR(INDEX('All products'!$N$2:$N$109,MATCH(90,'All products'!$Q$2:$Q$109,0))&amp;"","")</f>
        <v/>
      </c>
      <c r="O95">
        <f>IFERROR(HYPERLINK(INDEX('All products'!$O$2:$O$109,MATCH(90,'All products'!$Q$2:$Q$109,0))),"")</f>
        <v/>
      </c>
    </row>
    <row r="96">
      <c r="A96">
        <f>IFERROR(INDEX('All products'!$A$2:$A$109,MATCH(91,'All products'!$Q$2:$Q$109,0))&amp;"","")</f>
        <v/>
      </c>
      <c r="B96">
        <f>IFERROR(INDEX('All products'!$B$2:$B$109,MATCH(91,'All products'!$Q$2:$Q$109,0))&amp;"","")</f>
        <v/>
      </c>
      <c r="C96">
        <f>IFERROR(INDEX('All products'!$C$2:$C$109,MATCH(91,'All products'!$Q$2:$Q$109,0))&amp;"","")</f>
        <v/>
      </c>
      <c r="D96">
        <f>IFERROR(INDEX('All products'!$D$2:$D$109,MATCH(91,'All products'!$Q$2:$Q$109,0))&amp;"","")</f>
        <v/>
      </c>
      <c r="E96">
        <f>IFERROR(INDEX('All products'!$E$2:$E$109,MATCH(91,'All products'!$Q$2:$Q$109,0))&amp;"","")</f>
        <v/>
      </c>
      <c r="F96">
        <f>IFERROR(INDEX('All products'!$F$2:$F$109,MATCH(91,'All products'!$Q$2:$Q$109,0))&amp;"","")</f>
        <v/>
      </c>
      <c r="G96">
        <f>IFERROR(INDEX('All products'!$G$2:$G$109,MATCH(91,'All products'!$Q$2:$Q$109,0))&amp;"","")</f>
        <v/>
      </c>
      <c r="H96">
        <f>IFERROR(INDEX('All products'!$H$2:$H$109,MATCH(91,'All products'!$Q$2:$Q$109,0))&amp;"","")</f>
        <v/>
      </c>
      <c r="I96">
        <f>IFERROR(INDEX('All products'!$I$2:$I$109,MATCH(91,'All products'!$Q$2:$Q$109,0))&amp;"","")</f>
        <v/>
      </c>
      <c r="J96">
        <f>IFERROR(INDEX('All products'!$J$2:$J$109,MATCH(91,'All products'!$Q$2:$Q$109,0))&amp;"","")</f>
        <v/>
      </c>
      <c r="K96">
        <f>IFERROR(INDEX('All products'!$K$2:$K$109,MATCH(91,'All products'!$Q$2:$Q$109,0))&amp;"","")</f>
        <v/>
      </c>
      <c r="L96">
        <f>IFERROR(INDEX('All products'!$L$2:$L$109,MATCH(91,'All products'!$Q$2:$Q$109,0))&amp;"","")</f>
        <v/>
      </c>
      <c r="M96">
        <f>IFERROR(INDEX('All products'!$M$2:$M$109,MATCH(91,'All products'!$Q$2:$Q$109,0))&amp;"","")</f>
        <v/>
      </c>
      <c r="N96">
        <f>IFERROR(INDEX('All products'!$N$2:$N$109,MATCH(91,'All products'!$Q$2:$Q$109,0))&amp;"","")</f>
        <v/>
      </c>
      <c r="O96">
        <f>IFERROR(HYPERLINK(INDEX('All products'!$O$2:$O$109,MATCH(91,'All products'!$Q$2:$Q$109,0))),"")</f>
        <v/>
      </c>
    </row>
    <row r="97">
      <c r="A97">
        <f>IFERROR(INDEX('All products'!$A$2:$A$109,MATCH(92,'All products'!$Q$2:$Q$109,0))&amp;"","")</f>
        <v/>
      </c>
      <c r="B97">
        <f>IFERROR(INDEX('All products'!$B$2:$B$109,MATCH(92,'All products'!$Q$2:$Q$109,0))&amp;"","")</f>
        <v/>
      </c>
      <c r="C97">
        <f>IFERROR(INDEX('All products'!$C$2:$C$109,MATCH(92,'All products'!$Q$2:$Q$109,0))&amp;"","")</f>
        <v/>
      </c>
      <c r="D97">
        <f>IFERROR(INDEX('All products'!$D$2:$D$109,MATCH(92,'All products'!$Q$2:$Q$109,0))&amp;"","")</f>
        <v/>
      </c>
      <c r="E97">
        <f>IFERROR(INDEX('All products'!$E$2:$E$109,MATCH(92,'All products'!$Q$2:$Q$109,0))&amp;"","")</f>
        <v/>
      </c>
      <c r="F97">
        <f>IFERROR(INDEX('All products'!$F$2:$F$109,MATCH(92,'All products'!$Q$2:$Q$109,0))&amp;"","")</f>
        <v/>
      </c>
      <c r="G97">
        <f>IFERROR(INDEX('All products'!$G$2:$G$109,MATCH(92,'All products'!$Q$2:$Q$109,0))&amp;"","")</f>
        <v/>
      </c>
      <c r="H97">
        <f>IFERROR(INDEX('All products'!$H$2:$H$109,MATCH(92,'All products'!$Q$2:$Q$109,0))&amp;"","")</f>
        <v/>
      </c>
      <c r="I97">
        <f>IFERROR(INDEX('All products'!$I$2:$I$109,MATCH(92,'All products'!$Q$2:$Q$109,0))&amp;"","")</f>
        <v/>
      </c>
      <c r="J97">
        <f>IFERROR(INDEX('All products'!$J$2:$J$109,MATCH(92,'All products'!$Q$2:$Q$109,0))&amp;"","")</f>
        <v/>
      </c>
      <c r="K97">
        <f>IFERROR(INDEX('All products'!$K$2:$K$109,MATCH(92,'All products'!$Q$2:$Q$109,0))&amp;"","")</f>
        <v/>
      </c>
      <c r="L97">
        <f>IFERROR(INDEX('All products'!$L$2:$L$109,MATCH(92,'All products'!$Q$2:$Q$109,0))&amp;"","")</f>
        <v/>
      </c>
      <c r="M97">
        <f>IFERROR(INDEX('All products'!$M$2:$M$109,MATCH(92,'All products'!$Q$2:$Q$109,0))&amp;"","")</f>
        <v/>
      </c>
      <c r="N97">
        <f>IFERROR(INDEX('All products'!$N$2:$N$109,MATCH(92,'All products'!$Q$2:$Q$109,0))&amp;"","")</f>
        <v/>
      </c>
      <c r="O97">
        <f>IFERROR(HYPERLINK(INDEX('All products'!$O$2:$O$109,MATCH(92,'All products'!$Q$2:$Q$109,0))),"")</f>
        <v/>
      </c>
    </row>
    <row r="98">
      <c r="A98">
        <f>IFERROR(INDEX('All products'!$A$2:$A$109,MATCH(93,'All products'!$Q$2:$Q$109,0))&amp;"","")</f>
        <v/>
      </c>
      <c r="B98">
        <f>IFERROR(INDEX('All products'!$B$2:$B$109,MATCH(93,'All products'!$Q$2:$Q$109,0))&amp;"","")</f>
        <v/>
      </c>
      <c r="C98">
        <f>IFERROR(INDEX('All products'!$C$2:$C$109,MATCH(93,'All products'!$Q$2:$Q$109,0))&amp;"","")</f>
        <v/>
      </c>
      <c r="D98">
        <f>IFERROR(INDEX('All products'!$D$2:$D$109,MATCH(93,'All products'!$Q$2:$Q$109,0))&amp;"","")</f>
        <v/>
      </c>
      <c r="E98">
        <f>IFERROR(INDEX('All products'!$E$2:$E$109,MATCH(93,'All products'!$Q$2:$Q$109,0))&amp;"","")</f>
        <v/>
      </c>
      <c r="F98">
        <f>IFERROR(INDEX('All products'!$F$2:$F$109,MATCH(93,'All products'!$Q$2:$Q$109,0))&amp;"","")</f>
        <v/>
      </c>
      <c r="G98">
        <f>IFERROR(INDEX('All products'!$G$2:$G$109,MATCH(93,'All products'!$Q$2:$Q$109,0))&amp;"","")</f>
        <v/>
      </c>
      <c r="H98">
        <f>IFERROR(INDEX('All products'!$H$2:$H$109,MATCH(93,'All products'!$Q$2:$Q$109,0))&amp;"","")</f>
        <v/>
      </c>
      <c r="I98">
        <f>IFERROR(INDEX('All products'!$I$2:$I$109,MATCH(93,'All products'!$Q$2:$Q$109,0))&amp;"","")</f>
        <v/>
      </c>
      <c r="J98">
        <f>IFERROR(INDEX('All products'!$J$2:$J$109,MATCH(93,'All products'!$Q$2:$Q$109,0))&amp;"","")</f>
        <v/>
      </c>
      <c r="K98">
        <f>IFERROR(INDEX('All products'!$K$2:$K$109,MATCH(93,'All products'!$Q$2:$Q$109,0))&amp;"","")</f>
        <v/>
      </c>
      <c r="L98">
        <f>IFERROR(INDEX('All products'!$L$2:$L$109,MATCH(93,'All products'!$Q$2:$Q$109,0))&amp;"","")</f>
        <v/>
      </c>
      <c r="M98">
        <f>IFERROR(INDEX('All products'!$M$2:$M$109,MATCH(93,'All products'!$Q$2:$Q$109,0))&amp;"","")</f>
        <v/>
      </c>
      <c r="N98">
        <f>IFERROR(INDEX('All products'!$N$2:$N$109,MATCH(93,'All products'!$Q$2:$Q$109,0))&amp;"","")</f>
        <v/>
      </c>
      <c r="O98">
        <f>IFERROR(HYPERLINK(INDEX('All products'!$O$2:$O$109,MATCH(93,'All products'!$Q$2:$Q$109,0))),"")</f>
        <v/>
      </c>
    </row>
    <row r="99">
      <c r="A99">
        <f>IFERROR(INDEX('All products'!$A$2:$A$109,MATCH(94,'All products'!$Q$2:$Q$109,0))&amp;"","")</f>
        <v/>
      </c>
      <c r="B99">
        <f>IFERROR(INDEX('All products'!$B$2:$B$109,MATCH(94,'All products'!$Q$2:$Q$109,0))&amp;"","")</f>
        <v/>
      </c>
      <c r="C99">
        <f>IFERROR(INDEX('All products'!$C$2:$C$109,MATCH(94,'All products'!$Q$2:$Q$109,0))&amp;"","")</f>
        <v/>
      </c>
      <c r="D99">
        <f>IFERROR(INDEX('All products'!$D$2:$D$109,MATCH(94,'All products'!$Q$2:$Q$109,0))&amp;"","")</f>
        <v/>
      </c>
      <c r="E99">
        <f>IFERROR(INDEX('All products'!$E$2:$E$109,MATCH(94,'All products'!$Q$2:$Q$109,0))&amp;"","")</f>
        <v/>
      </c>
      <c r="F99">
        <f>IFERROR(INDEX('All products'!$F$2:$F$109,MATCH(94,'All products'!$Q$2:$Q$109,0))&amp;"","")</f>
        <v/>
      </c>
      <c r="G99">
        <f>IFERROR(INDEX('All products'!$G$2:$G$109,MATCH(94,'All products'!$Q$2:$Q$109,0))&amp;"","")</f>
        <v/>
      </c>
      <c r="H99">
        <f>IFERROR(INDEX('All products'!$H$2:$H$109,MATCH(94,'All products'!$Q$2:$Q$109,0))&amp;"","")</f>
        <v/>
      </c>
      <c r="I99">
        <f>IFERROR(INDEX('All products'!$I$2:$I$109,MATCH(94,'All products'!$Q$2:$Q$109,0))&amp;"","")</f>
        <v/>
      </c>
      <c r="J99">
        <f>IFERROR(INDEX('All products'!$J$2:$J$109,MATCH(94,'All products'!$Q$2:$Q$109,0))&amp;"","")</f>
        <v/>
      </c>
      <c r="K99">
        <f>IFERROR(INDEX('All products'!$K$2:$K$109,MATCH(94,'All products'!$Q$2:$Q$109,0))&amp;"","")</f>
        <v/>
      </c>
      <c r="L99">
        <f>IFERROR(INDEX('All products'!$L$2:$L$109,MATCH(94,'All products'!$Q$2:$Q$109,0))&amp;"","")</f>
        <v/>
      </c>
      <c r="M99">
        <f>IFERROR(INDEX('All products'!$M$2:$M$109,MATCH(94,'All products'!$Q$2:$Q$109,0))&amp;"","")</f>
        <v/>
      </c>
      <c r="N99">
        <f>IFERROR(INDEX('All products'!$N$2:$N$109,MATCH(94,'All products'!$Q$2:$Q$109,0))&amp;"","")</f>
        <v/>
      </c>
      <c r="O99">
        <f>IFERROR(HYPERLINK(INDEX('All products'!$O$2:$O$109,MATCH(94,'All products'!$Q$2:$Q$109,0))),"")</f>
        <v/>
      </c>
    </row>
    <row r="100">
      <c r="A100">
        <f>IFERROR(INDEX('All products'!$A$2:$A$109,MATCH(95,'All products'!$Q$2:$Q$109,0))&amp;"","")</f>
        <v/>
      </c>
      <c r="B100">
        <f>IFERROR(INDEX('All products'!$B$2:$B$109,MATCH(95,'All products'!$Q$2:$Q$109,0))&amp;"","")</f>
        <v/>
      </c>
      <c r="C100">
        <f>IFERROR(INDEX('All products'!$C$2:$C$109,MATCH(95,'All products'!$Q$2:$Q$109,0))&amp;"","")</f>
        <v/>
      </c>
      <c r="D100">
        <f>IFERROR(INDEX('All products'!$D$2:$D$109,MATCH(95,'All products'!$Q$2:$Q$109,0))&amp;"","")</f>
        <v/>
      </c>
      <c r="E100">
        <f>IFERROR(INDEX('All products'!$E$2:$E$109,MATCH(95,'All products'!$Q$2:$Q$109,0))&amp;"","")</f>
        <v/>
      </c>
      <c r="F100">
        <f>IFERROR(INDEX('All products'!$F$2:$F$109,MATCH(95,'All products'!$Q$2:$Q$109,0))&amp;"","")</f>
        <v/>
      </c>
      <c r="G100">
        <f>IFERROR(INDEX('All products'!$G$2:$G$109,MATCH(95,'All products'!$Q$2:$Q$109,0))&amp;"","")</f>
        <v/>
      </c>
      <c r="H100">
        <f>IFERROR(INDEX('All products'!$H$2:$H$109,MATCH(95,'All products'!$Q$2:$Q$109,0))&amp;"","")</f>
        <v/>
      </c>
      <c r="I100">
        <f>IFERROR(INDEX('All products'!$I$2:$I$109,MATCH(95,'All products'!$Q$2:$Q$109,0))&amp;"","")</f>
        <v/>
      </c>
      <c r="J100">
        <f>IFERROR(INDEX('All products'!$J$2:$J$109,MATCH(95,'All products'!$Q$2:$Q$109,0))&amp;"","")</f>
        <v/>
      </c>
      <c r="K100">
        <f>IFERROR(INDEX('All products'!$K$2:$K$109,MATCH(95,'All products'!$Q$2:$Q$109,0))&amp;"","")</f>
        <v/>
      </c>
      <c r="L100">
        <f>IFERROR(INDEX('All products'!$L$2:$L$109,MATCH(95,'All products'!$Q$2:$Q$109,0))&amp;"","")</f>
        <v/>
      </c>
      <c r="M100">
        <f>IFERROR(INDEX('All products'!$M$2:$M$109,MATCH(95,'All products'!$Q$2:$Q$109,0))&amp;"","")</f>
        <v/>
      </c>
      <c r="N100">
        <f>IFERROR(INDEX('All products'!$N$2:$N$109,MATCH(95,'All products'!$Q$2:$Q$109,0))&amp;"","")</f>
        <v/>
      </c>
      <c r="O100">
        <f>IFERROR(HYPERLINK(INDEX('All products'!$O$2:$O$109,MATCH(95,'All products'!$Q$2:$Q$109,0))),"")</f>
        <v/>
      </c>
    </row>
    <row r="101">
      <c r="A101">
        <f>IFERROR(INDEX('All products'!$A$2:$A$109,MATCH(96,'All products'!$Q$2:$Q$109,0))&amp;"","")</f>
        <v/>
      </c>
      <c r="B101">
        <f>IFERROR(INDEX('All products'!$B$2:$B$109,MATCH(96,'All products'!$Q$2:$Q$109,0))&amp;"","")</f>
        <v/>
      </c>
      <c r="C101">
        <f>IFERROR(INDEX('All products'!$C$2:$C$109,MATCH(96,'All products'!$Q$2:$Q$109,0))&amp;"","")</f>
        <v/>
      </c>
      <c r="D101">
        <f>IFERROR(INDEX('All products'!$D$2:$D$109,MATCH(96,'All products'!$Q$2:$Q$109,0))&amp;"","")</f>
        <v/>
      </c>
      <c r="E101">
        <f>IFERROR(INDEX('All products'!$E$2:$E$109,MATCH(96,'All products'!$Q$2:$Q$109,0))&amp;"","")</f>
        <v/>
      </c>
      <c r="F101">
        <f>IFERROR(INDEX('All products'!$F$2:$F$109,MATCH(96,'All products'!$Q$2:$Q$109,0))&amp;"","")</f>
        <v/>
      </c>
      <c r="G101">
        <f>IFERROR(INDEX('All products'!$G$2:$G$109,MATCH(96,'All products'!$Q$2:$Q$109,0))&amp;"","")</f>
        <v/>
      </c>
      <c r="H101">
        <f>IFERROR(INDEX('All products'!$H$2:$H$109,MATCH(96,'All products'!$Q$2:$Q$109,0))&amp;"","")</f>
        <v/>
      </c>
      <c r="I101">
        <f>IFERROR(INDEX('All products'!$I$2:$I$109,MATCH(96,'All products'!$Q$2:$Q$109,0))&amp;"","")</f>
        <v/>
      </c>
      <c r="J101">
        <f>IFERROR(INDEX('All products'!$J$2:$J$109,MATCH(96,'All products'!$Q$2:$Q$109,0))&amp;"","")</f>
        <v/>
      </c>
      <c r="K101">
        <f>IFERROR(INDEX('All products'!$K$2:$K$109,MATCH(96,'All products'!$Q$2:$Q$109,0))&amp;"","")</f>
        <v/>
      </c>
      <c r="L101">
        <f>IFERROR(INDEX('All products'!$L$2:$L$109,MATCH(96,'All products'!$Q$2:$Q$109,0))&amp;"","")</f>
        <v/>
      </c>
      <c r="M101">
        <f>IFERROR(INDEX('All products'!$M$2:$M$109,MATCH(96,'All products'!$Q$2:$Q$109,0))&amp;"","")</f>
        <v/>
      </c>
      <c r="N101">
        <f>IFERROR(INDEX('All products'!$N$2:$N$109,MATCH(96,'All products'!$Q$2:$Q$109,0))&amp;"","")</f>
        <v/>
      </c>
      <c r="O101">
        <f>IFERROR(HYPERLINK(INDEX('All products'!$O$2:$O$109,MATCH(96,'All products'!$Q$2:$Q$109,0))),"")</f>
        <v/>
      </c>
    </row>
    <row r="102">
      <c r="A102">
        <f>IFERROR(INDEX('All products'!$A$2:$A$109,MATCH(97,'All products'!$Q$2:$Q$109,0))&amp;"","")</f>
        <v/>
      </c>
      <c r="B102">
        <f>IFERROR(INDEX('All products'!$B$2:$B$109,MATCH(97,'All products'!$Q$2:$Q$109,0))&amp;"","")</f>
        <v/>
      </c>
      <c r="C102">
        <f>IFERROR(INDEX('All products'!$C$2:$C$109,MATCH(97,'All products'!$Q$2:$Q$109,0))&amp;"","")</f>
        <v/>
      </c>
      <c r="D102">
        <f>IFERROR(INDEX('All products'!$D$2:$D$109,MATCH(97,'All products'!$Q$2:$Q$109,0))&amp;"","")</f>
        <v/>
      </c>
      <c r="E102">
        <f>IFERROR(INDEX('All products'!$E$2:$E$109,MATCH(97,'All products'!$Q$2:$Q$109,0))&amp;"","")</f>
        <v/>
      </c>
      <c r="F102">
        <f>IFERROR(INDEX('All products'!$F$2:$F$109,MATCH(97,'All products'!$Q$2:$Q$109,0))&amp;"","")</f>
        <v/>
      </c>
      <c r="G102">
        <f>IFERROR(INDEX('All products'!$G$2:$G$109,MATCH(97,'All products'!$Q$2:$Q$109,0))&amp;"","")</f>
        <v/>
      </c>
      <c r="H102">
        <f>IFERROR(INDEX('All products'!$H$2:$H$109,MATCH(97,'All products'!$Q$2:$Q$109,0))&amp;"","")</f>
        <v/>
      </c>
      <c r="I102">
        <f>IFERROR(INDEX('All products'!$I$2:$I$109,MATCH(97,'All products'!$Q$2:$Q$109,0))&amp;"","")</f>
        <v/>
      </c>
      <c r="J102">
        <f>IFERROR(INDEX('All products'!$J$2:$J$109,MATCH(97,'All products'!$Q$2:$Q$109,0))&amp;"","")</f>
        <v/>
      </c>
      <c r="K102">
        <f>IFERROR(INDEX('All products'!$K$2:$K$109,MATCH(97,'All products'!$Q$2:$Q$109,0))&amp;"","")</f>
        <v/>
      </c>
      <c r="L102">
        <f>IFERROR(INDEX('All products'!$L$2:$L$109,MATCH(97,'All products'!$Q$2:$Q$109,0))&amp;"","")</f>
        <v/>
      </c>
      <c r="M102">
        <f>IFERROR(INDEX('All products'!$M$2:$M$109,MATCH(97,'All products'!$Q$2:$Q$109,0))&amp;"","")</f>
        <v/>
      </c>
      <c r="N102">
        <f>IFERROR(INDEX('All products'!$N$2:$N$109,MATCH(97,'All products'!$Q$2:$Q$109,0))&amp;"","")</f>
        <v/>
      </c>
      <c r="O102">
        <f>IFERROR(HYPERLINK(INDEX('All products'!$O$2:$O$109,MATCH(97,'All products'!$Q$2:$Q$109,0))),"")</f>
        <v/>
      </c>
    </row>
    <row r="103">
      <c r="A103">
        <f>IFERROR(INDEX('All products'!$A$2:$A$109,MATCH(98,'All products'!$Q$2:$Q$109,0))&amp;"","")</f>
        <v/>
      </c>
      <c r="B103">
        <f>IFERROR(INDEX('All products'!$B$2:$B$109,MATCH(98,'All products'!$Q$2:$Q$109,0))&amp;"","")</f>
        <v/>
      </c>
      <c r="C103">
        <f>IFERROR(INDEX('All products'!$C$2:$C$109,MATCH(98,'All products'!$Q$2:$Q$109,0))&amp;"","")</f>
        <v/>
      </c>
      <c r="D103">
        <f>IFERROR(INDEX('All products'!$D$2:$D$109,MATCH(98,'All products'!$Q$2:$Q$109,0))&amp;"","")</f>
        <v/>
      </c>
      <c r="E103">
        <f>IFERROR(INDEX('All products'!$E$2:$E$109,MATCH(98,'All products'!$Q$2:$Q$109,0))&amp;"","")</f>
        <v/>
      </c>
      <c r="F103">
        <f>IFERROR(INDEX('All products'!$F$2:$F$109,MATCH(98,'All products'!$Q$2:$Q$109,0))&amp;"","")</f>
        <v/>
      </c>
      <c r="G103">
        <f>IFERROR(INDEX('All products'!$G$2:$G$109,MATCH(98,'All products'!$Q$2:$Q$109,0))&amp;"","")</f>
        <v/>
      </c>
      <c r="H103">
        <f>IFERROR(INDEX('All products'!$H$2:$H$109,MATCH(98,'All products'!$Q$2:$Q$109,0))&amp;"","")</f>
        <v/>
      </c>
      <c r="I103">
        <f>IFERROR(INDEX('All products'!$I$2:$I$109,MATCH(98,'All products'!$Q$2:$Q$109,0))&amp;"","")</f>
        <v/>
      </c>
      <c r="J103">
        <f>IFERROR(INDEX('All products'!$J$2:$J$109,MATCH(98,'All products'!$Q$2:$Q$109,0))&amp;"","")</f>
        <v/>
      </c>
      <c r="K103">
        <f>IFERROR(INDEX('All products'!$K$2:$K$109,MATCH(98,'All products'!$Q$2:$Q$109,0))&amp;"","")</f>
        <v/>
      </c>
      <c r="L103">
        <f>IFERROR(INDEX('All products'!$L$2:$L$109,MATCH(98,'All products'!$Q$2:$Q$109,0))&amp;"","")</f>
        <v/>
      </c>
      <c r="M103">
        <f>IFERROR(INDEX('All products'!$M$2:$M$109,MATCH(98,'All products'!$Q$2:$Q$109,0))&amp;"","")</f>
        <v/>
      </c>
      <c r="N103">
        <f>IFERROR(INDEX('All products'!$N$2:$N$109,MATCH(98,'All products'!$Q$2:$Q$109,0))&amp;"","")</f>
        <v/>
      </c>
      <c r="O103">
        <f>IFERROR(HYPERLINK(INDEX('All products'!$O$2:$O$109,MATCH(98,'All products'!$Q$2:$Q$109,0))),"")</f>
        <v/>
      </c>
    </row>
    <row r="104">
      <c r="A104">
        <f>IFERROR(INDEX('All products'!$A$2:$A$109,MATCH(99,'All products'!$Q$2:$Q$109,0))&amp;"","")</f>
        <v/>
      </c>
      <c r="B104">
        <f>IFERROR(INDEX('All products'!$B$2:$B$109,MATCH(99,'All products'!$Q$2:$Q$109,0))&amp;"","")</f>
        <v/>
      </c>
      <c r="C104">
        <f>IFERROR(INDEX('All products'!$C$2:$C$109,MATCH(99,'All products'!$Q$2:$Q$109,0))&amp;"","")</f>
        <v/>
      </c>
      <c r="D104">
        <f>IFERROR(INDEX('All products'!$D$2:$D$109,MATCH(99,'All products'!$Q$2:$Q$109,0))&amp;"","")</f>
        <v/>
      </c>
      <c r="E104">
        <f>IFERROR(INDEX('All products'!$E$2:$E$109,MATCH(99,'All products'!$Q$2:$Q$109,0))&amp;"","")</f>
        <v/>
      </c>
      <c r="F104">
        <f>IFERROR(INDEX('All products'!$F$2:$F$109,MATCH(99,'All products'!$Q$2:$Q$109,0))&amp;"","")</f>
        <v/>
      </c>
      <c r="G104">
        <f>IFERROR(INDEX('All products'!$G$2:$G$109,MATCH(99,'All products'!$Q$2:$Q$109,0))&amp;"","")</f>
        <v/>
      </c>
      <c r="H104">
        <f>IFERROR(INDEX('All products'!$H$2:$H$109,MATCH(99,'All products'!$Q$2:$Q$109,0))&amp;"","")</f>
        <v/>
      </c>
      <c r="I104">
        <f>IFERROR(INDEX('All products'!$I$2:$I$109,MATCH(99,'All products'!$Q$2:$Q$109,0))&amp;"","")</f>
        <v/>
      </c>
      <c r="J104">
        <f>IFERROR(INDEX('All products'!$J$2:$J$109,MATCH(99,'All products'!$Q$2:$Q$109,0))&amp;"","")</f>
        <v/>
      </c>
      <c r="K104">
        <f>IFERROR(INDEX('All products'!$K$2:$K$109,MATCH(99,'All products'!$Q$2:$Q$109,0))&amp;"","")</f>
        <v/>
      </c>
      <c r="L104">
        <f>IFERROR(INDEX('All products'!$L$2:$L$109,MATCH(99,'All products'!$Q$2:$Q$109,0))&amp;"","")</f>
        <v/>
      </c>
      <c r="M104">
        <f>IFERROR(INDEX('All products'!$M$2:$M$109,MATCH(99,'All products'!$Q$2:$Q$109,0))&amp;"","")</f>
        <v/>
      </c>
      <c r="N104">
        <f>IFERROR(INDEX('All products'!$N$2:$N$109,MATCH(99,'All products'!$Q$2:$Q$109,0))&amp;"","")</f>
        <v/>
      </c>
      <c r="O104">
        <f>IFERROR(HYPERLINK(INDEX('All products'!$O$2:$O$109,MATCH(99,'All products'!$Q$2:$Q$109,0))),"")</f>
        <v/>
      </c>
    </row>
    <row r="105">
      <c r="A105">
        <f>IFERROR(INDEX('All products'!$A$2:$A$109,MATCH(100,'All products'!$Q$2:$Q$109,0))&amp;"","")</f>
        <v/>
      </c>
      <c r="B105">
        <f>IFERROR(INDEX('All products'!$B$2:$B$109,MATCH(100,'All products'!$Q$2:$Q$109,0))&amp;"","")</f>
        <v/>
      </c>
      <c r="C105">
        <f>IFERROR(INDEX('All products'!$C$2:$C$109,MATCH(100,'All products'!$Q$2:$Q$109,0))&amp;"","")</f>
        <v/>
      </c>
      <c r="D105">
        <f>IFERROR(INDEX('All products'!$D$2:$D$109,MATCH(100,'All products'!$Q$2:$Q$109,0))&amp;"","")</f>
        <v/>
      </c>
      <c r="E105">
        <f>IFERROR(INDEX('All products'!$E$2:$E$109,MATCH(100,'All products'!$Q$2:$Q$109,0))&amp;"","")</f>
        <v/>
      </c>
      <c r="F105">
        <f>IFERROR(INDEX('All products'!$F$2:$F$109,MATCH(100,'All products'!$Q$2:$Q$109,0))&amp;"","")</f>
        <v/>
      </c>
      <c r="G105">
        <f>IFERROR(INDEX('All products'!$G$2:$G$109,MATCH(100,'All products'!$Q$2:$Q$109,0))&amp;"","")</f>
        <v/>
      </c>
      <c r="H105">
        <f>IFERROR(INDEX('All products'!$H$2:$H$109,MATCH(100,'All products'!$Q$2:$Q$109,0))&amp;"","")</f>
        <v/>
      </c>
      <c r="I105">
        <f>IFERROR(INDEX('All products'!$I$2:$I$109,MATCH(100,'All products'!$Q$2:$Q$109,0))&amp;"","")</f>
        <v/>
      </c>
      <c r="J105">
        <f>IFERROR(INDEX('All products'!$J$2:$J$109,MATCH(100,'All products'!$Q$2:$Q$109,0))&amp;"","")</f>
        <v/>
      </c>
      <c r="K105">
        <f>IFERROR(INDEX('All products'!$K$2:$K$109,MATCH(100,'All products'!$Q$2:$Q$109,0))&amp;"","")</f>
        <v/>
      </c>
      <c r="L105">
        <f>IFERROR(INDEX('All products'!$L$2:$L$109,MATCH(100,'All products'!$Q$2:$Q$109,0))&amp;"","")</f>
        <v/>
      </c>
      <c r="M105">
        <f>IFERROR(INDEX('All products'!$M$2:$M$109,MATCH(100,'All products'!$Q$2:$Q$109,0))&amp;"","")</f>
        <v/>
      </c>
      <c r="N105">
        <f>IFERROR(INDEX('All products'!$N$2:$N$109,MATCH(100,'All products'!$Q$2:$Q$109,0))&amp;"","")</f>
        <v/>
      </c>
      <c r="O105">
        <f>IFERROR(HYPERLINK(INDEX('All products'!$O$2:$O$109,MATCH(100,'All products'!$Q$2:$Q$109,0))),"")</f>
        <v/>
      </c>
    </row>
    <row r="106">
      <c r="A106">
        <f>IFERROR(INDEX('All products'!$A$2:$A$109,MATCH(101,'All products'!$Q$2:$Q$109,0))&amp;"","")</f>
        <v/>
      </c>
      <c r="B106">
        <f>IFERROR(INDEX('All products'!$B$2:$B$109,MATCH(101,'All products'!$Q$2:$Q$109,0))&amp;"","")</f>
        <v/>
      </c>
      <c r="C106">
        <f>IFERROR(INDEX('All products'!$C$2:$C$109,MATCH(101,'All products'!$Q$2:$Q$109,0))&amp;"","")</f>
        <v/>
      </c>
      <c r="D106">
        <f>IFERROR(INDEX('All products'!$D$2:$D$109,MATCH(101,'All products'!$Q$2:$Q$109,0))&amp;"","")</f>
        <v/>
      </c>
      <c r="E106">
        <f>IFERROR(INDEX('All products'!$E$2:$E$109,MATCH(101,'All products'!$Q$2:$Q$109,0))&amp;"","")</f>
        <v/>
      </c>
      <c r="F106">
        <f>IFERROR(INDEX('All products'!$F$2:$F$109,MATCH(101,'All products'!$Q$2:$Q$109,0))&amp;"","")</f>
        <v/>
      </c>
      <c r="G106">
        <f>IFERROR(INDEX('All products'!$G$2:$G$109,MATCH(101,'All products'!$Q$2:$Q$109,0))&amp;"","")</f>
        <v/>
      </c>
      <c r="H106">
        <f>IFERROR(INDEX('All products'!$H$2:$H$109,MATCH(101,'All products'!$Q$2:$Q$109,0))&amp;"","")</f>
        <v/>
      </c>
      <c r="I106">
        <f>IFERROR(INDEX('All products'!$I$2:$I$109,MATCH(101,'All products'!$Q$2:$Q$109,0))&amp;"","")</f>
        <v/>
      </c>
      <c r="J106">
        <f>IFERROR(INDEX('All products'!$J$2:$J$109,MATCH(101,'All products'!$Q$2:$Q$109,0))&amp;"","")</f>
        <v/>
      </c>
      <c r="K106">
        <f>IFERROR(INDEX('All products'!$K$2:$K$109,MATCH(101,'All products'!$Q$2:$Q$109,0))&amp;"","")</f>
        <v/>
      </c>
      <c r="L106">
        <f>IFERROR(INDEX('All products'!$L$2:$L$109,MATCH(101,'All products'!$Q$2:$Q$109,0))&amp;"","")</f>
        <v/>
      </c>
      <c r="M106">
        <f>IFERROR(INDEX('All products'!$M$2:$M$109,MATCH(101,'All products'!$Q$2:$Q$109,0))&amp;"","")</f>
        <v/>
      </c>
      <c r="N106">
        <f>IFERROR(INDEX('All products'!$N$2:$N$109,MATCH(101,'All products'!$Q$2:$Q$109,0))&amp;"","")</f>
        <v/>
      </c>
      <c r="O106">
        <f>IFERROR(HYPERLINK(INDEX('All products'!$O$2:$O$109,MATCH(101,'All products'!$Q$2:$Q$109,0))),"")</f>
        <v/>
      </c>
    </row>
    <row r="107">
      <c r="A107">
        <f>IFERROR(INDEX('All products'!$A$2:$A$109,MATCH(102,'All products'!$Q$2:$Q$109,0))&amp;"","")</f>
        <v/>
      </c>
      <c r="B107">
        <f>IFERROR(INDEX('All products'!$B$2:$B$109,MATCH(102,'All products'!$Q$2:$Q$109,0))&amp;"","")</f>
        <v/>
      </c>
      <c r="C107">
        <f>IFERROR(INDEX('All products'!$C$2:$C$109,MATCH(102,'All products'!$Q$2:$Q$109,0))&amp;"","")</f>
        <v/>
      </c>
      <c r="D107">
        <f>IFERROR(INDEX('All products'!$D$2:$D$109,MATCH(102,'All products'!$Q$2:$Q$109,0))&amp;"","")</f>
        <v/>
      </c>
      <c r="E107">
        <f>IFERROR(INDEX('All products'!$E$2:$E$109,MATCH(102,'All products'!$Q$2:$Q$109,0))&amp;"","")</f>
        <v/>
      </c>
      <c r="F107">
        <f>IFERROR(INDEX('All products'!$F$2:$F$109,MATCH(102,'All products'!$Q$2:$Q$109,0))&amp;"","")</f>
        <v/>
      </c>
      <c r="G107">
        <f>IFERROR(INDEX('All products'!$G$2:$G$109,MATCH(102,'All products'!$Q$2:$Q$109,0))&amp;"","")</f>
        <v/>
      </c>
      <c r="H107">
        <f>IFERROR(INDEX('All products'!$H$2:$H$109,MATCH(102,'All products'!$Q$2:$Q$109,0))&amp;"","")</f>
        <v/>
      </c>
      <c r="I107">
        <f>IFERROR(INDEX('All products'!$I$2:$I$109,MATCH(102,'All products'!$Q$2:$Q$109,0))&amp;"","")</f>
        <v/>
      </c>
      <c r="J107">
        <f>IFERROR(INDEX('All products'!$J$2:$J$109,MATCH(102,'All products'!$Q$2:$Q$109,0))&amp;"","")</f>
        <v/>
      </c>
      <c r="K107">
        <f>IFERROR(INDEX('All products'!$K$2:$K$109,MATCH(102,'All products'!$Q$2:$Q$109,0))&amp;"","")</f>
        <v/>
      </c>
      <c r="L107">
        <f>IFERROR(INDEX('All products'!$L$2:$L$109,MATCH(102,'All products'!$Q$2:$Q$109,0))&amp;"","")</f>
        <v/>
      </c>
      <c r="M107">
        <f>IFERROR(INDEX('All products'!$M$2:$M$109,MATCH(102,'All products'!$Q$2:$Q$109,0))&amp;"","")</f>
        <v/>
      </c>
      <c r="N107">
        <f>IFERROR(INDEX('All products'!$N$2:$N$109,MATCH(102,'All products'!$Q$2:$Q$109,0))&amp;"","")</f>
        <v/>
      </c>
      <c r="O107">
        <f>IFERROR(HYPERLINK(INDEX('All products'!$O$2:$O$109,MATCH(102,'All products'!$Q$2:$Q$109,0))),"")</f>
        <v/>
      </c>
    </row>
    <row r="108">
      <c r="A108">
        <f>IFERROR(INDEX('All products'!$A$2:$A$109,MATCH(103,'All products'!$Q$2:$Q$109,0))&amp;"","")</f>
        <v/>
      </c>
      <c r="B108">
        <f>IFERROR(INDEX('All products'!$B$2:$B$109,MATCH(103,'All products'!$Q$2:$Q$109,0))&amp;"","")</f>
        <v/>
      </c>
      <c r="C108">
        <f>IFERROR(INDEX('All products'!$C$2:$C$109,MATCH(103,'All products'!$Q$2:$Q$109,0))&amp;"","")</f>
        <v/>
      </c>
      <c r="D108">
        <f>IFERROR(INDEX('All products'!$D$2:$D$109,MATCH(103,'All products'!$Q$2:$Q$109,0))&amp;"","")</f>
        <v/>
      </c>
      <c r="E108">
        <f>IFERROR(INDEX('All products'!$E$2:$E$109,MATCH(103,'All products'!$Q$2:$Q$109,0))&amp;"","")</f>
        <v/>
      </c>
      <c r="F108">
        <f>IFERROR(INDEX('All products'!$F$2:$F$109,MATCH(103,'All products'!$Q$2:$Q$109,0))&amp;"","")</f>
        <v/>
      </c>
      <c r="G108">
        <f>IFERROR(INDEX('All products'!$G$2:$G$109,MATCH(103,'All products'!$Q$2:$Q$109,0))&amp;"","")</f>
        <v/>
      </c>
      <c r="H108">
        <f>IFERROR(INDEX('All products'!$H$2:$H$109,MATCH(103,'All products'!$Q$2:$Q$109,0))&amp;"","")</f>
        <v/>
      </c>
      <c r="I108">
        <f>IFERROR(INDEX('All products'!$I$2:$I$109,MATCH(103,'All products'!$Q$2:$Q$109,0))&amp;"","")</f>
        <v/>
      </c>
      <c r="J108">
        <f>IFERROR(INDEX('All products'!$J$2:$J$109,MATCH(103,'All products'!$Q$2:$Q$109,0))&amp;"","")</f>
        <v/>
      </c>
      <c r="K108">
        <f>IFERROR(INDEX('All products'!$K$2:$K$109,MATCH(103,'All products'!$Q$2:$Q$109,0))&amp;"","")</f>
        <v/>
      </c>
      <c r="L108">
        <f>IFERROR(INDEX('All products'!$L$2:$L$109,MATCH(103,'All products'!$Q$2:$Q$109,0))&amp;"","")</f>
        <v/>
      </c>
      <c r="M108">
        <f>IFERROR(INDEX('All products'!$M$2:$M$109,MATCH(103,'All products'!$Q$2:$Q$109,0))&amp;"","")</f>
        <v/>
      </c>
      <c r="N108">
        <f>IFERROR(INDEX('All products'!$N$2:$N$109,MATCH(103,'All products'!$Q$2:$Q$109,0))&amp;"","")</f>
        <v/>
      </c>
      <c r="O108">
        <f>IFERROR(HYPERLINK(INDEX('All products'!$O$2:$O$109,MATCH(103,'All products'!$Q$2:$Q$109,0))),"")</f>
        <v/>
      </c>
    </row>
    <row r="109">
      <c r="A109">
        <f>IFERROR(INDEX('All products'!$A$2:$A$109,MATCH(104,'All products'!$Q$2:$Q$109,0))&amp;"","")</f>
        <v/>
      </c>
      <c r="B109">
        <f>IFERROR(INDEX('All products'!$B$2:$B$109,MATCH(104,'All products'!$Q$2:$Q$109,0))&amp;"","")</f>
        <v/>
      </c>
      <c r="C109">
        <f>IFERROR(INDEX('All products'!$C$2:$C$109,MATCH(104,'All products'!$Q$2:$Q$109,0))&amp;"","")</f>
        <v/>
      </c>
      <c r="D109">
        <f>IFERROR(INDEX('All products'!$D$2:$D$109,MATCH(104,'All products'!$Q$2:$Q$109,0))&amp;"","")</f>
        <v/>
      </c>
      <c r="E109">
        <f>IFERROR(INDEX('All products'!$E$2:$E$109,MATCH(104,'All products'!$Q$2:$Q$109,0))&amp;"","")</f>
        <v/>
      </c>
      <c r="F109">
        <f>IFERROR(INDEX('All products'!$F$2:$F$109,MATCH(104,'All products'!$Q$2:$Q$109,0))&amp;"","")</f>
        <v/>
      </c>
      <c r="G109">
        <f>IFERROR(INDEX('All products'!$G$2:$G$109,MATCH(104,'All products'!$Q$2:$Q$109,0))&amp;"","")</f>
        <v/>
      </c>
      <c r="H109">
        <f>IFERROR(INDEX('All products'!$H$2:$H$109,MATCH(104,'All products'!$Q$2:$Q$109,0))&amp;"","")</f>
        <v/>
      </c>
      <c r="I109">
        <f>IFERROR(INDEX('All products'!$I$2:$I$109,MATCH(104,'All products'!$Q$2:$Q$109,0))&amp;"","")</f>
        <v/>
      </c>
      <c r="J109">
        <f>IFERROR(INDEX('All products'!$J$2:$J$109,MATCH(104,'All products'!$Q$2:$Q$109,0))&amp;"","")</f>
        <v/>
      </c>
      <c r="K109">
        <f>IFERROR(INDEX('All products'!$K$2:$K$109,MATCH(104,'All products'!$Q$2:$Q$109,0))&amp;"","")</f>
        <v/>
      </c>
      <c r="L109">
        <f>IFERROR(INDEX('All products'!$L$2:$L$109,MATCH(104,'All products'!$Q$2:$Q$109,0))&amp;"","")</f>
        <v/>
      </c>
      <c r="M109">
        <f>IFERROR(INDEX('All products'!$M$2:$M$109,MATCH(104,'All products'!$Q$2:$Q$109,0))&amp;"","")</f>
        <v/>
      </c>
      <c r="N109">
        <f>IFERROR(INDEX('All products'!$N$2:$N$109,MATCH(104,'All products'!$Q$2:$Q$109,0))&amp;"","")</f>
        <v/>
      </c>
      <c r="O109">
        <f>IFERROR(HYPERLINK(INDEX('All products'!$O$2:$O$109,MATCH(104,'All products'!$Q$2:$Q$109,0))),"")</f>
        <v/>
      </c>
    </row>
    <row r="110">
      <c r="A110">
        <f>IFERROR(INDEX('All products'!$A$2:$A$109,MATCH(105,'All products'!$Q$2:$Q$109,0))&amp;"","")</f>
        <v/>
      </c>
      <c r="B110">
        <f>IFERROR(INDEX('All products'!$B$2:$B$109,MATCH(105,'All products'!$Q$2:$Q$109,0))&amp;"","")</f>
        <v/>
      </c>
      <c r="C110">
        <f>IFERROR(INDEX('All products'!$C$2:$C$109,MATCH(105,'All products'!$Q$2:$Q$109,0))&amp;"","")</f>
        <v/>
      </c>
      <c r="D110">
        <f>IFERROR(INDEX('All products'!$D$2:$D$109,MATCH(105,'All products'!$Q$2:$Q$109,0))&amp;"","")</f>
        <v/>
      </c>
      <c r="E110">
        <f>IFERROR(INDEX('All products'!$E$2:$E$109,MATCH(105,'All products'!$Q$2:$Q$109,0))&amp;"","")</f>
        <v/>
      </c>
      <c r="F110">
        <f>IFERROR(INDEX('All products'!$F$2:$F$109,MATCH(105,'All products'!$Q$2:$Q$109,0))&amp;"","")</f>
        <v/>
      </c>
      <c r="G110">
        <f>IFERROR(INDEX('All products'!$G$2:$G$109,MATCH(105,'All products'!$Q$2:$Q$109,0))&amp;"","")</f>
        <v/>
      </c>
      <c r="H110">
        <f>IFERROR(INDEX('All products'!$H$2:$H$109,MATCH(105,'All products'!$Q$2:$Q$109,0))&amp;"","")</f>
        <v/>
      </c>
      <c r="I110">
        <f>IFERROR(INDEX('All products'!$I$2:$I$109,MATCH(105,'All products'!$Q$2:$Q$109,0))&amp;"","")</f>
        <v/>
      </c>
      <c r="J110">
        <f>IFERROR(INDEX('All products'!$J$2:$J$109,MATCH(105,'All products'!$Q$2:$Q$109,0))&amp;"","")</f>
        <v/>
      </c>
      <c r="K110">
        <f>IFERROR(INDEX('All products'!$K$2:$K$109,MATCH(105,'All products'!$Q$2:$Q$109,0))&amp;"","")</f>
        <v/>
      </c>
      <c r="L110">
        <f>IFERROR(INDEX('All products'!$L$2:$L$109,MATCH(105,'All products'!$Q$2:$Q$109,0))&amp;"","")</f>
        <v/>
      </c>
      <c r="M110">
        <f>IFERROR(INDEX('All products'!$M$2:$M$109,MATCH(105,'All products'!$Q$2:$Q$109,0))&amp;"","")</f>
        <v/>
      </c>
      <c r="N110">
        <f>IFERROR(INDEX('All products'!$N$2:$N$109,MATCH(105,'All products'!$Q$2:$Q$109,0))&amp;"","")</f>
        <v/>
      </c>
      <c r="O110">
        <f>IFERROR(HYPERLINK(INDEX('All products'!$O$2:$O$109,MATCH(105,'All products'!$Q$2:$Q$109,0))),"")</f>
        <v/>
      </c>
    </row>
    <row r="111">
      <c r="A111">
        <f>IFERROR(INDEX('All products'!$A$2:$A$109,MATCH(106,'All products'!$Q$2:$Q$109,0))&amp;"","")</f>
        <v/>
      </c>
      <c r="B111">
        <f>IFERROR(INDEX('All products'!$B$2:$B$109,MATCH(106,'All products'!$Q$2:$Q$109,0))&amp;"","")</f>
        <v/>
      </c>
      <c r="C111">
        <f>IFERROR(INDEX('All products'!$C$2:$C$109,MATCH(106,'All products'!$Q$2:$Q$109,0))&amp;"","")</f>
        <v/>
      </c>
      <c r="D111">
        <f>IFERROR(INDEX('All products'!$D$2:$D$109,MATCH(106,'All products'!$Q$2:$Q$109,0))&amp;"","")</f>
        <v/>
      </c>
      <c r="E111">
        <f>IFERROR(INDEX('All products'!$E$2:$E$109,MATCH(106,'All products'!$Q$2:$Q$109,0))&amp;"","")</f>
        <v/>
      </c>
      <c r="F111">
        <f>IFERROR(INDEX('All products'!$F$2:$F$109,MATCH(106,'All products'!$Q$2:$Q$109,0))&amp;"","")</f>
        <v/>
      </c>
      <c r="G111">
        <f>IFERROR(INDEX('All products'!$G$2:$G$109,MATCH(106,'All products'!$Q$2:$Q$109,0))&amp;"","")</f>
        <v/>
      </c>
      <c r="H111">
        <f>IFERROR(INDEX('All products'!$H$2:$H$109,MATCH(106,'All products'!$Q$2:$Q$109,0))&amp;"","")</f>
        <v/>
      </c>
      <c r="I111">
        <f>IFERROR(INDEX('All products'!$I$2:$I$109,MATCH(106,'All products'!$Q$2:$Q$109,0))&amp;"","")</f>
        <v/>
      </c>
      <c r="J111">
        <f>IFERROR(INDEX('All products'!$J$2:$J$109,MATCH(106,'All products'!$Q$2:$Q$109,0))&amp;"","")</f>
        <v/>
      </c>
      <c r="K111">
        <f>IFERROR(INDEX('All products'!$K$2:$K$109,MATCH(106,'All products'!$Q$2:$Q$109,0))&amp;"","")</f>
        <v/>
      </c>
      <c r="L111">
        <f>IFERROR(INDEX('All products'!$L$2:$L$109,MATCH(106,'All products'!$Q$2:$Q$109,0))&amp;"","")</f>
        <v/>
      </c>
      <c r="M111">
        <f>IFERROR(INDEX('All products'!$M$2:$M$109,MATCH(106,'All products'!$Q$2:$Q$109,0))&amp;"","")</f>
        <v/>
      </c>
      <c r="N111">
        <f>IFERROR(INDEX('All products'!$N$2:$N$109,MATCH(106,'All products'!$Q$2:$Q$109,0))&amp;"","")</f>
        <v/>
      </c>
      <c r="O111">
        <f>IFERROR(HYPERLINK(INDEX('All products'!$O$2:$O$109,MATCH(106,'All products'!$Q$2:$Q$109,0))),"")</f>
        <v/>
      </c>
    </row>
    <row r="112">
      <c r="A112">
        <f>IFERROR(INDEX('All products'!$A$2:$A$109,MATCH(107,'All products'!$Q$2:$Q$109,0))&amp;"","")</f>
        <v/>
      </c>
      <c r="B112">
        <f>IFERROR(INDEX('All products'!$B$2:$B$109,MATCH(107,'All products'!$Q$2:$Q$109,0))&amp;"","")</f>
        <v/>
      </c>
      <c r="C112">
        <f>IFERROR(INDEX('All products'!$C$2:$C$109,MATCH(107,'All products'!$Q$2:$Q$109,0))&amp;"","")</f>
        <v/>
      </c>
      <c r="D112">
        <f>IFERROR(INDEX('All products'!$D$2:$D$109,MATCH(107,'All products'!$Q$2:$Q$109,0))&amp;"","")</f>
        <v/>
      </c>
      <c r="E112">
        <f>IFERROR(INDEX('All products'!$E$2:$E$109,MATCH(107,'All products'!$Q$2:$Q$109,0))&amp;"","")</f>
        <v/>
      </c>
      <c r="F112">
        <f>IFERROR(INDEX('All products'!$F$2:$F$109,MATCH(107,'All products'!$Q$2:$Q$109,0))&amp;"","")</f>
        <v/>
      </c>
      <c r="G112">
        <f>IFERROR(INDEX('All products'!$G$2:$G$109,MATCH(107,'All products'!$Q$2:$Q$109,0))&amp;"","")</f>
        <v/>
      </c>
      <c r="H112">
        <f>IFERROR(INDEX('All products'!$H$2:$H$109,MATCH(107,'All products'!$Q$2:$Q$109,0))&amp;"","")</f>
        <v/>
      </c>
      <c r="I112">
        <f>IFERROR(INDEX('All products'!$I$2:$I$109,MATCH(107,'All products'!$Q$2:$Q$109,0))&amp;"","")</f>
        <v/>
      </c>
      <c r="J112">
        <f>IFERROR(INDEX('All products'!$J$2:$J$109,MATCH(107,'All products'!$Q$2:$Q$109,0))&amp;"","")</f>
        <v/>
      </c>
      <c r="K112">
        <f>IFERROR(INDEX('All products'!$K$2:$K$109,MATCH(107,'All products'!$Q$2:$Q$109,0))&amp;"","")</f>
        <v/>
      </c>
      <c r="L112">
        <f>IFERROR(INDEX('All products'!$L$2:$L$109,MATCH(107,'All products'!$Q$2:$Q$109,0))&amp;"","")</f>
        <v/>
      </c>
      <c r="M112">
        <f>IFERROR(INDEX('All products'!$M$2:$M$109,MATCH(107,'All products'!$Q$2:$Q$109,0))&amp;"","")</f>
        <v/>
      </c>
      <c r="N112">
        <f>IFERROR(INDEX('All products'!$N$2:$N$109,MATCH(107,'All products'!$Q$2:$Q$109,0))&amp;"","")</f>
        <v/>
      </c>
      <c r="O112">
        <f>IFERROR(HYPERLINK(INDEX('All products'!$O$2:$O$109,MATCH(107,'All products'!$Q$2:$Q$109,0))),"")</f>
        <v/>
      </c>
    </row>
    <row r="113">
      <c r="A113">
        <f>IFERROR(INDEX('All products'!$A$2:$A$109,MATCH(108,'All products'!$Q$2:$Q$109,0))&amp;"","")</f>
        <v/>
      </c>
      <c r="B113">
        <f>IFERROR(INDEX('All products'!$B$2:$B$109,MATCH(108,'All products'!$Q$2:$Q$109,0))&amp;"","")</f>
        <v/>
      </c>
      <c r="C113">
        <f>IFERROR(INDEX('All products'!$C$2:$C$109,MATCH(108,'All products'!$Q$2:$Q$109,0))&amp;"","")</f>
        <v/>
      </c>
      <c r="D113">
        <f>IFERROR(INDEX('All products'!$D$2:$D$109,MATCH(108,'All products'!$Q$2:$Q$109,0))&amp;"","")</f>
        <v/>
      </c>
      <c r="E113">
        <f>IFERROR(INDEX('All products'!$E$2:$E$109,MATCH(108,'All products'!$Q$2:$Q$109,0))&amp;"","")</f>
        <v/>
      </c>
      <c r="F113">
        <f>IFERROR(INDEX('All products'!$F$2:$F$109,MATCH(108,'All products'!$Q$2:$Q$109,0))&amp;"","")</f>
        <v/>
      </c>
      <c r="G113">
        <f>IFERROR(INDEX('All products'!$G$2:$G$109,MATCH(108,'All products'!$Q$2:$Q$109,0))&amp;"","")</f>
        <v/>
      </c>
      <c r="H113">
        <f>IFERROR(INDEX('All products'!$H$2:$H$109,MATCH(108,'All products'!$Q$2:$Q$109,0))&amp;"","")</f>
        <v/>
      </c>
      <c r="I113">
        <f>IFERROR(INDEX('All products'!$I$2:$I$109,MATCH(108,'All products'!$Q$2:$Q$109,0))&amp;"","")</f>
        <v/>
      </c>
      <c r="J113">
        <f>IFERROR(INDEX('All products'!$J$2:$J$109,MATCH(108,'All products'!$Q$2:$Q$109,0))&amp;"","")</f>
        <v/>
      </c>
      <c r="K113">
        <f>IFERROR(INDEX('All products'!$K$2:$K$109,MATCH(108,'All products'!$Q$2:$Q$109,0))&amp;"","")</f>
        <v/>
      </c>
      <c r="L113">
        <f>IFERROR(INDEX('All products'!$L$2:$L$109,MATCH(108,'All products'!$Q$2:$Q$109,0))&amp;"","")</f>
        <v/>
      </c>
      <c r="M113">
        <f>IFERROR(INDEX('All products'!$M$2:$M$109,MATCH(108,'All products'!$Q$2:$Q$109,0))&amp;"","")</f>
        <v/>
      </c>
      <c r="N113">
        <f>IFERROR(INDEX('All products'!$N$2:$N$109,MATCH(108,'All products'!$Q$2:$Q$109,0))&amp;"","")</f>
        <v/>
      </c>
      <c r="O113">
        <f>IFERROR(HYPERLINK(INDEX('All products'!$O$2:$O$109,MATCH(108,'All products'!$Q$2:$Q$109,0))),"")</f>
        <v/>
      </c>
    </row>
    <row r="114">
      <c r="A114">
        <f>IFERROR(INDEX('All products'!$A$2:$A$109,MATCH(109,'All products'!$Q$2:$Q$109,0))&amp;"","")</f>
        <v/>
      </c>
      <c r="B114">
        <f>IFERROR(INDEX('All products'!$B$2:$B$109,MATCH(109,'All products'!$Q$2:$Q$109,0))&amp;"","")</f>
        <v/>
      </c>
      <c r="C114">
        <f>IFERROR(INDEX('All products'!$C$2:$C$109,MATCH(109,'All products'!$Q$2:$Q$109,0))&amp;"","")</f>
        <v/>
      </c>
      <c r="D114">
        <f>IFERROR(INDEX('All products'!$D$2:$D$109,MATCH(109,'All products'!$Q$2:$Q$109,0))&amp;"","")</f>
        <v/>
      </c>
      <c r="E114">
        <f>IFERROR(INDEX('All products'!$E$2:$E$109,MATCH(109,'All products'!$Q$2:$Q$109,0))&amp;"","")</f>
        <v/>
      </c>
      <c r="F114">
        <f>IFERROR(INDEX('All products'!$F$2:$F$109,MATCH(109,'All products'!$Q$2:$Q$109,0))&amp;"","")</f>
        <v/>
      </c>
      <c r="G114">
        <f>IFERROR(INDEX('All products'!$G$2:$G$109,MATCH(109,'All products'!$Q$2:$Q$109,0))&amp;"","")</f>
        <v/>
      </c>
      <c r="H114">
        <f>IFERROR(INDEX('All products'!$H$2:$H$109,MATCH(109,'All products'!$Q$2:$Q$109,0))&amp;"","")</f>
        <v/>
      </c>
      <c r="I114">
        <f>IFERROR(INDEX('All products'!$I$2:$I$109,MATCH(109,'All products'!$Q$2:$Q$109,0))&amp;"","")</f>
        <v/>
      </c>
      <c r="J114">
        <f>IFERROR(INDEX('All products'!$J$2:$J$109,MATCH(109,'All products'!$Q$2:$Q$109,0))&amp;"","")</f>
        <v/>
      </c>
      <c r="K114">
        <f>IFERROR(INDEX('All products'!$K$2:$K$109,MATCH(109,'All products'!$Q$2:$Q$109,0))&amp;"","")</f>
        <v/>
      </c>
      <c r="L114">
        <f>IFERROR(INDEX('All products'!$L$2:$L$109,MATCH(109,'All products'!$Q$2:$Q$109,0))&amp;"","")</f>
        <v/>
      </c>
      <c r="M114">
        <f>IFERROR(INDEX('All products'!$M$2:$M$109,MATCH(109,'All products'!$Q$2:$Q$109,0))&amp;"","")</f>
        <v/>
      </c>
      <c r="N114">
        <f>IFERROR(INDEX('All products'!$N$2:$N$109,MATCH(109,'All products'!$Q$2:$Q$109,0))&amp;"","")</f>
        <v/>
      </c>
      <c r="O114">
        <f>IFERROR(HYPERLINK(INDEX('All products'!$O$2:$O$109,MATCH(109,'All products'!$Q$2:$Q$109,0))),"")</f>
        <v/>
      </c>
    </row>
    <row r="115">
      <c r="A115">
        <f>IFERROR(INDEX('All products'!$A$2:$A$109,MATCH(110,'All products'!$Q$2:$Q$109,0))&amp;"","")</f>
        <v/>
      </c>
      <c r="B115">
        <f>IFERROR(INDEX('All products'!$B$2:$B$109,MATCH(110,'All products'!$Q$2:$Q$109,0))&amp;"","")</f>
        <v/>
      </c>
      <c r="C115">
        <f>IFERROR(INDEX('All products'!$C$2:$C$109,MATCH(110,'All products'!$Q$2:$Q$109,0))&amp;"","")</f>
        <v/>
      </c>
      <c r="D115">
        <f>IFERROR(INDEX('All products'!$D$2:$D$109,MATCH(110,'All products'!$Q$2:$Q$109,0))&amp;"","")</f>
        <v/>
      </c>
      <c r="E115">
        <f>IFERROR(INDEX('All products'!$E$2:$E$109,MATCH(110,'All products'!$Q$2:$Q$109,0))&amp;"","")</f>
        <v/>
      </c>
      <c r="F115">
        <f>IFERROR(INDEX('All products'!$F$2:$F$109,MATCH(110,'All products'!$Q$2:$Q$109,0))&amp;"","")</f>
        <v/>
      </c>
      <c r="G115">
        <f>IFERROR(INDEX('All products'!$G$2:$G$109,MATCH(110,'All products'!$Q$2:$Q$109,0))&amp;"","")</f>
        <v/>
      </c>
      <c r="H115">
        <f>IFERROR(INDEX('All products'!$H$2:$H$109,MATCH(110,'All products'!$Q$2:$Q$109,0))&amp;"","")</f>
        <v/>
      </c>
      <c r="I115">
        <f>IFERROR(INDEX('All products'!$I$2:$I$109,MATCH(110,'All products'!$Q$2:$Q$109,0))&amp;"","")</f>
        <v/>
      </c>
      <c r="J115">
        <f>IFERROR(INDEX('All products'!$J$2:$J$109,MATCH(110,'All products'!$Q$2:$Q$109,0))&amp;"","")</f>
        <v/>
      </c>
      <c r="K115">
        <f>IFERROR(INDEX('All products'!$K$2:$K$109,MATCH(110,'All products'!$Q$2:$Q$109,0))&amp;"","")</f>
        <v/>
      </c>
      <c r="L115">
        <f>IFERROR(INDEX('All products'!$L$2:$L$109,MATCH(110,'All products'!$Q$2:$Q$109,0))&amp;"","")</f>
        <v/>
      </c>
      <c r="M115">
        <f>IFERROR(INDEX('All products'!$M$2:$M$109,MATCH(110,'All products'!$Q$2:$Q$109,0))&amp;"","")</f>
        <v/>
      </c>
      <c r="N115">
        <f>IFERROR(INDEX('All products'!$N$2:$N$109,MATCH(110,'All products'!$Q$2:$Q$109,0))&amp;"","")</f>
        <v/>
      </c>
      <c r="O115">
        <f>IFERROR(HYPERLINK(INDEX('All products'!$O$2:$O$109,MATCH(110,'All products'!$Q$2:$Q$109,0))),"")</f>
        <v/>
      </c>
    </row>
    <row r="116">
      <c r="A116">
        <f>IFERROR(INDEX('All products'!$A$2:$A$109,MATCH(111,'All products'!$Q$2:$Q$109,0))&amp;"","")</f>
        <v/>
      </c>
      <c r="B116">
        <f>IFERROR(INDEX('All products'!$B$2:$B$109,MATCH(111,'All products'!$Q$2:$Q$109,0))&amp;"","")</f>
        <v/>
      </c>
      <c r="C116">
        <f>IFERROR(INDEX('All products'!$C$2:$C$109,MATCH(111,'All products'!$Q$2:$Q$109,0))&amp;"","")</f>
        <v/>
      </c>
      <c r="D116">
        <f>IFERROR(INDEX('All products'!$D$2:$D$109,MATCH(111,'All products'!$Q$2:$Q$109,0))&amp;"","")</f>
        <v/>
      </c>
      <c r="E116">
        <f>IFERROR(INDEX('All products'!$E$2:$E$109,MATCH(111,'All products'!$Q$2:$Q$109,0))&amp;"","")</f>
        <v/>
      </c>
      <c r="F116">
        <f>IFERROR(INDEX('All products'!$F$2:$F$109,MATCH(111,'All products'!$Q$2:$Q$109,0))&amp;"","")</f>
        <v/>
      </c>
      <c r="G116">
        <f>IFERROR(INDEX('All products'!$G$2:$G$109,MATCH(111,'All products'!$Q$2:$Q$109,0))&amp;"","")</f>
        <v/>
      </c>
      <c r="H116">
        <f>IFERROR(INDEX('All products'!$H$2:$H$109,MATCH(111,'All products'!$Q$2:$Q$109,0))&amp;"","")</f>
        <v/>
      </c>
      <c r="I116">
        <f>IFERROR(INDEX('All products'!$I$2:$I$109,MATCH(111,'All products'!$Q$2:$Q$109,0))&amp;"","")</f>
        <v/>
      </c>
      <c r="J116">
        <f>IFERROR(INDEX('All products'!$J$2:$J$109,MATCH(111,'All products'!$Q$2:$Q$109,0))&amp;"","")</f>
        <v/>
      </c>
      <c r="K116">
        <f>IFERROR(INDEX('All products'!$K$2:$K$109,MATCH(111,'All products'!$Q$2:$Q$109,0))&amp;"","")</f>
        <v/>
      </c>
      <c r="L116">
        <f>IFERROR(INDEX('All products'!$L$2:$L$109,MATCH(111,'All products'!$Q$2:$Q$109,0))&amp;"","")</f>
        <v/>
      </c>
      <c r="M116">
        <f>IFERROR(INDEX('All products'!$M$2:$M$109,MATCH(111,'All products'!$Q$2:$Q$109,0))&amp;"","")</f>
        <v/>
      </c>
      <c r="N116">
        <f>IFERROR(INDEX('All products'!$N$2:$N$109,MATCH(111,'All products'!$Q$2:$Q$109,0))&amp;"","")</f>
        <v/>
      </c>
      <c r="O116">
        <f>IFERROR(HYPERLINK(INDEX('All products'!$O$2:$O$109,MATCH(111,'All products'!$Q$2:$Q$109,0))),"")</f>
        <v/>
      </c>
    </row>
    <row r="117">
      <c r="A117">
        <f>IFERROR(INDEX('All products'!$A$2:$A$109,MATCH(112,'All products'!$Q$2:$Q$109,0))&amp;"","")</f>
        <v/>
      </c>
      <c r="B117">
        <f>IFERROR(INDEX('All products'!$B$2:$B$109,MATCH(112,'All products'!$Q$2:$Q$109,0))&amp;"","")</f>
        <v/>
      </c>
      <c r="C117">
        <f>IFERROR(INDEX('All products'!$C$2:$C$109,MATCH(112,'All products'!$Q$2:$Q$109,0))&amp;"","")</f>
        <v/>
      </c>
      <c r="D117">
        <f>IFERROR(INDEX('All products'!$D$2:$D$109,MATCH(112,'All products'!$Q$2:$Q$109,0))&amp;"","")</f>
        <v/>
      </c>
      <c r="E117">
        <f>IFERROR(INDEX('All products'!$E$2:$E$109,MATCH(112,'All products'!$Q$2:$Q$109,0))&amp;"","")</f>
        <v/>
      </c>
      <c r="F117">
        <f>IFERROR(INDEX('All products'!$F$2:$F$109,MATCH(112,'All products'!$Q$2:$Q$109,0))&amp;"","")</f>
        <v/>
      </c>
      <c r="G117">
        <f>IFERROR(INDEX('All products'!$G$2:$G$109,MATCH(112,'All products'!$Q$2:$Q$109,0))&amp;"","")</f>
        <v/>
      </c>
      <c r="H117">
        <f>IFERROR(INDEX('All products'!$H$2:$H$109,MATCH(112,'All products'!$Q$2:$Q$109,0))&amp;"","")</f>
        <v/>
      </c>
      <c r="I117">
        <f>IFERROR(INDEX('All products'!$I$2:$I$109,MATCH(112,'All products'!$Q$2:$Q$109,0))&amp;"","")</f>
        <v/>
      </c>
      <c r="J117">
        <f>IFERROR(INDEX('All products'!$J$2:$J$109,MATCH(112,'All products'!$Q$2:$Q$109,0))&amp;"","")</f>
        <v/>
      </c>
      <c r="K117">
        <f>IFERROR(INDEX('All products'!$K$2:$K$109,MATCH(112,'All products'!$Q$2:$Q$109,0))&amp;"","")</f>
        <v/>
      </c>
      <c r="L117">
        <f>IFERROR(INDEX('All products'!$L$2:$L$109,MATCH(112,'All products'!$Q$2:$Q$109,0))&amp;"","")</f>
        <v/>
      </c>
      <c r="M117">
        <f>IFERROR(INDEX('All products'!$M$2:$M$109,MATCH(112,'All products'!$Q$2:$Q$109,0))&amp;"","")</f>
        <v/>
      </c>
      <c r="N117">
        <f>IFERROR(INDEX('All products'!$N$2:$N$109,MATCH(112,'All products'!$Q$2:$Q$109,0))&amp;"","")</f>
        <v/>
      </c>
      <c r="O117">
        <f>IFERROR(HYPERLINK(INDEX('All products'!$O$2:$O$109,MATCH(112,'All products'!$Q$2:$Q$109,0))),"")</f>
        <v/>
      </c>
    </row>
    <row r="118">
      <c r="A118">
        <f>IFERROR(INDEX('All products'!$A$2:$A$109,MATCH(113,'All products'!$Q$2:$Q$109,0))&amp;"","")</f>
        <v/>
      </c>
      <c r="B118">
        <f>IFERROR(INDEX('All products'!$B$2:$B$109,MATCH(113,'All products'!$Q$2:$Q$109,0))&amp;"","")</f>
        <v/>
      </c>
      <c r="C118">
        <f>IFERROR(INDEX('All products'!$C$2:$C$109,MATCH(113,'All products'!$Q$2:$Q$109,0))&amp;"","")</f>
        <v/>
      </c>
      <c r="D118">
        <f>IFERROR(INDEX('All products'!$D$2:$D$109,MATCH(113,'All products'!$Q$2:$Q$109,0))&amp;"","")</f>
        <v/>
      </c>
      <c r="E118">
        <f>IFERROR(INDEX('All products'!$E$2:$E$109,MATCH(113,'All products'!$Q$2:$Q$109,0))&amp;"","")</f>
        <v/>
      </c>
      <c r="F118">
        <f>IFERROR(INDEX('All products'!$F$2:$F$109,MATCH(113,'All products'!$Q$2:$Q$109,0))&amp;"","")</f>
        <v/>
      </c>
      <c r="G118">
        <f>IFERROR(INDEX('All products'!$G$2:$G$109,MATCH(113,'All products'!$Q$2:$Q$109,0))&amp;"","")</f>
        <v/>
      </c>
      <c r="H118">
        <f>IFERROR(INDEX('All products'!$H$2:$H$109,MATCH(113,'All products'!$Q$2:$Q$109,0))&amp;"","")</f>
        <v/>
      </c>
      <c r="I118">
        <f>IFERROR(INDEX('All products'!$I$2:$I$109,MATCH(113,'All products'!$Q$2:$Q$109,0))&amp;"","")</f>
        <v/>
      </c>
      <c r="J118">
        <f>IFERROR(INDEX('All products'!$J$2:$J$109,MATCH(113,'All products'!$Q$2:$Q$109,0))&amp;"","")</f>
        <v/>
      </c>
      <c r="K118">
        <f>IFERROR(INDEX('All products'!$K$2:$K$109,MATCH(113,'All products'!$Q$2:$Q$109,0))&amp;"","")</f>
        <v/>
      </c>
      <c r="L118">
        <f>IFERROR(INDEX('All products'!$L$2:$L$109,MATCH(113,'All products'!$Q$2:$Q$109,0))&amp;"","")</f>
        <v/>
      </c>
      <c r="M118">
        <f>IFERROR(INDEX('All products'!$M$2:$M$109,MATCH(113,'All products'!$Q$2:$Q$109,0))&amp;"","")</f>
        <v/>
      </c>
      <c r="N118">
        <f>IFERROR(INDEX('All products'!$N$2:$N$109,MATCH(113,'All products'!$Q$2:$Q$109,0))&amp;"","")</f>
        <v/>
      </c>
      <c r="O118">
        <f>IFERROR(HYPERLINK(INDEX('All products'!$O$2:$O$109,MATCH(113,'All products'!$Q$2:$Q$109,0))),"")</f>
        <v/>
      </c>
    </row>
    <row r="119">
      <c r="A119">
        <f>IFERROR(INDEX('All products'!$A$2:$A$109,MATCH(114,'All products'!$Q$2:$Q$109,0))&amp;"","")</f>
        <v/>
      </c>
      <c r="B119">
        <f>IFERROR(INDEX('All products'!$B$2:$B$109,MATCH(114,'All products'!$Q$2:$Q$109,0))&amp;"","")</f>
        <v/>
      </c>
      <c r="C119">
        <f>IFERROR(INDEX('All products'!$C$2:$C$109,MATCH(114,'All products'!$Q$2:$Q$109,0))&amp;"","")</f>
        <v/>
      </c>
      <c r="D119">
        <f>IFERROR(INDEX('All products'!$D$2:$D$109,MATCH(114,'All products'!$Q$2:$Q$109,0))&amp;"","")</f>
        <v/>
      </c>
      <c r="E119">
        <f>IFERROR(INDEX('All products'!$E$2:$E$109,MATCH(114,'All products'!$Q$2:$Q$109,0))&amp;"","")</f>
        <v/>
      </c>
      <c r="F119">
        <f>IFERROR(INDEX('All products'!$F$2:$F$109,MATCH(114,'All products'!$Q$2:$Q$109,0))&amp;"","")</f>
        <v/>
      </c>
      <c r="G119">
        <f>IFERROR(INDEX('All products'!$G$2:$G$109,MATCH(114,'All products'!$Q$2:$Q$109,0))&amp;"","")</f>
        <v/>
      </c>
      <c r="H119">
        <f>IFERROR(INDEX('All products'!$H$2:$H$109,MATCH(114,'All products'!$Q$2:$Q$109,0))&amp;"","")</f>
        <v/>
      </c>
      <c r="I119">
        <f>IFERROR(INDEX('All products'!$I$2:$I$109,MATCH(114,'All products'!$Q$2:$Q$109,0))&amp;"","")</f>
        <v/>
      </c>
      <c r="J119">
        <f>IFERROR(INDEX('All products'!$J$2:$J$109,MATCH(114,'All products'!$Q$2:$Q$109,0))&amp;"","")</f>
        <v/>
      </c>
      <c r="K119">
        <f>IFERROR(INDEX('All products'!$K$2:$K$109,MATCH(114,'All products'!$Q$2:$Q$109,0))&amp;"","")</f>
        <v/>
      </c>
      <c r="L119">
        <f>IFERROR(INDEX('All products'!$L$2:$L$109,MATCH(114,'All products'!$Q$2:$Q$109,0))&amp;"","")</f>
        <v/>
      </c>
      <c r="M119">
        <f>IFERROR(INDEX('All products'!$M$2:$M$109,MATCH(114,'All products'!$Q$2:$Q$109,0))&amp;"","")</f>
        <v/>
      </c>
      <c r="N119">
        <f>IFERROR(INDEX('All products'!$N$2:$N$109,MATCH(114,'All products'!$Q$2:$Q$109,0))&amp;"","")</f>
        <v/>
      </c>
      <c r="O119">
        <f>IFERROR(HYPERLINK(INDEX('All products'!$O$2:$O$109,MATCH(114,'All products'!$Q$2:$Q$109,0))),"")</f>
        <v/>
      </c>
    </row>
    <row r="120">
      <c r="A120">
        <f>IFERROR(INDEX('All products'!$A$2:$A$109,MATCH(115,'All products'!$Q$2:$Q$109,0))&amp;"","")</f>
        <v/>
      </c>
      <c r="B120">
        <f>IFERROR(INDEX('All products'!$B$2:$B$109,MATCH(115,'All products'!$Q$2:$Q$109,0))&amp;"","")</f>
        <v/>
      </c>
      <c r="C120">
        <f>IFERROR(INDEX('All products'!$C$2:$C$109,MATCH(115,'All products'!$Q$2:$Q$109,0))&amp;"","")</f>
        <v/>
      </c>
      <c r="D120">
        <f>IFERROR(INDEX('All products'!$D$2:$D$109,MATCH(115,'All products'!$Q$2:$Q$109,0))&amp;"","")</f>
        <v/>
      </c>
      <c r="E120">
        <f>IFERROR(INDEX('All products'!$E$2:$E$109,MATCH(115,'All products'!$Q$2:$Q$109,0))&amp;"","")</f>
        <v/>
      </c>
      <c r="F120">
        <f>IFERROR(INDEX('All products'!$F$2:$F$109,MATCH(115,'All products'!$Q$2:$Q$109,0))&amp;"","")</f>
        <v/>
      </c>
      <c r="G120">
        <f>IFERROR(INDEX('All products'!$G$2:$G$109,MATCH(115,'All products'!$Q$2:$Q$109,0))&amp;"","")</f>
        <v/>
      </c>
      <c r="H120">
        <f>IFERROR(INDEX('All products'!$H$2:$H$109,MATCH(115,'All products'!$Q$2:$Q$109,0))&amp;"","")</f>
        <v/>
      </c>
      <c r="I120">
        <f>IFERROR(INDEX('All products'!$I$2:$I$109,MATCH(115,'All products'!$Q$2:$Q$109,0))&amp;"","")</f>
        <v/>
      </c>
      <c r="J120">
        <f>IFERROR(INDEX('All products'!$J$2:$J$109,MATCH(115,'All products'!$Q$2:$Q$109,0))&amp;"","")</f>
        <v/>
      </c>
      <c r="K120">
        <f>IFERROR(INDEX('All products'!$K$2:$K$109,MATCH(115,'All products'!$Q$2:$Q$109,0))&amp;"","")</f>
        <v/>
      </c>
      <c r="L120">
        <f>IFERROR(INDEX('All products'!$L$2:$L$109,MATCH(115,'All products'!$Q$2:$Q$109,0))&amp;"","")</f>
        <v/>
      </c>
      <c r="M120">
        <f>IFERROR(INDEX('All products'!$M$2:$M$109,MATCH(115,'All products'!$Q$2:$Q$109,0))&amp;"","")</f>
        <v/>
      </c>
      <c r="N120">
        <f>IFERROR(INDEX('All products'!$N$2:$N$109,MATCH(115,'All products'!$Q$2:$Q$109,0))&amp;"","")</f>
        <v/>
      </c>
      <c r="O120">
        <f>IFERROR(HYPERLINK(INDEX('All products'!$O$2:$O$109,MATCH(115,'All products'!$Q$2:$Q$109,0))),"")</f>
        <v/>
      </c>
    </row>
    <row r="121">
      <c r="A121">
        <f>IFERROR(INDEX('All products'!$A$2:$A$109,MATCH(116,'All products'!$Q$2:$Q$109,0))&amp;"","")</f>
        <v/>
      </c>
      <c r="B121">
        <f>IFERROR(INDEX('All products'!$B$2:$B$109,MATCH(116,'All products'!$Q$2:$Q$109,0))&amp;"","")</f>
        <v/>
      </c>
      <c r="C121">
        <f>IFERROR(INDEX('All products'!$C$2:$C$109,MATCH(116,'All products'!$Q$2:$Q$109,0))&amp;"","")</f>
        <v/>
      </c>
      <c r="D121">
        <f>IFERROR(INDEX('All products'!$D$2:$D$109,MATCH(116,'All products'!$Q$2:$Q$109,0))&amp;"","")</f>
        <v/>
      </c>
      <c r="E121">
        <f>IFERROR(INDEX('All products'!$E$2:$E$109,MATCH(116,'All products'!$Q$2:$Q$109,0))&amp;"","")</f>
        <v/>
      </c>
      <c r="F121">
        <f>IFERROR(INDEX('All products'!$F$2:$F$109,MATCH(116,'All products'!$Q$2:$Q$109,0))&amp;"","")</f>
        <v/>
      </c>
      <c r="G121">
        <f>IFERROR(INDEX('All products'!$G$2:$G$109,MATCH(116,'All products'!$Q$2:$Q$109,0))&amp;"","")</f>
        <v/>
      </c>
      <c r="H121">
        <f>IFERROR(INDEX('All products'!$H$2:$H$109,MATCH(116,'All products'!$Q$2:$Q$109,0))&amp;"","")</f>
        <v/>
      </c>
      <c r="I121">
        <f>IFERROR(INDEX('All products'!$I$2:$I$109,MATCH(116,'All products'!$Q$2:$Q$109,0))&amp;"","")</f>
        <v/>
      </c>
      <c r="J121">
        <f>IFERROR(INDEX('All products'!$J$2:$J$109,MATCH(116,'All products'!$Q$2:$Q$109,0))&amp;"","")</f>
        <v/>
      </c>
      <c r="K121">
        <f>IFERROR(INDEX('All products'!$K$2:$K$109,MATCH(116,'All products'!$Q$2:$Q$109,0))&amp;"","")</f>
        <v/>
      </c>
      <c r="L121">
        <f>IFERROR(INDEX('All products'!$L$2:$L$109,MATCH(116,'All products'!$Q$2:$Q$109,0))&amp;"","")</f>
        <v/>
      </c>
      <c r="M121">
        <f>IFERROR(INDEX('All products'!$M$2:$M$109,MATCH(116,'All products'!$Q$2:$Q$109,0))&amp;"","")</f>
        <v/>
      </c>
      <c r="N121">
        <f>IFERROR(INDEX('All products'!$N$2:$N$109,MATCH(116,'All products'!$Q$2:$Q$109,0))&amp;"","")</f>
        <v/>
      </c>
      <c r="O121">
        <f>IFERROR(HYPERLINK(INDEX('All products'!$O$2:$O$109,MATCH(116,'All products'!$Q$2:$Q$109,0))),"")</f>
        <v/>
      </c>
    </row>
    <row r="122">
      <c r="A122">
        <f>IFERROR(INDEX('All products'!$A$2:$A$109,MATCH(117,'All products'!$Q$2:$Q$109,0))&amp;"","")</f>
        <v/>
      </c>
      <c r="B122">
        <f>IFERROR(INDEX('All products'!$B$2:$B$109,MATCH(117,'All products'!$Q$2:$Q$109,0))&amp;"","")</f>
        <v/>
      </c>
      <c r="C122">
        <f>IFERROR(INDEX('All products'!$C$2:$C$109,MATCH(117,'All products'!$Q$2:$Q$109,0))&amp;"","")</f>
        <v/>
      </c>
      <c r="D122">
        <f>IFERROR(INDEX('All products'!$D$2:$D$109,MATCH(117,'All products'!$Q$2:$Q$109,0))&amp;"","")</f>
        <v/>
      </c>
      <c r="E122">
        <f>IFERROR(INDEX('All products'!$E$2:$E$109,MATCH(117,'All products'!$Q$2:$Q$109,0))&amp;"","")</f>
        <v/>
      </c>
      <c r="F122">
        <f>IFERROR(INDEX('All products'!$F$2:$F$109,MATCH(117,'All products'!$Q$2:$Q$109,0))&amp;"","")</f>
        <v/>
      </c>
      <c r="G122">
        <f>IFERROR(INDEX('All products'!$G$2:$G$109,MATCH(117,'All products'!$Q$2:$Q$109,0))&amp;"","")</f>
        <v/>
      </c>
      <c r="H122">
        <f>IFERROR(INDEX('All products'!$H$2:$H$109,MATCH(117,'All products'!$Q$2:$Q$109,0))&amp;"","")</f>
        <v/>
      </c>
      <c r="I122">
        <f>IFERROR(INDEX('All products'!$I$2:$I$109,MATCH(117,'All products'!$Q$2:$Q$109,0))&amp;"","")</f>
        <v/>
      </c>
      <c r="J122">
        <f>IFERROR(INDEX('All products'!$J$2:$J$109,MATCH(117,'All products'!$Q$2:$Q$109,0))&amp;"","")</f>
        <v/>
      </c>
      <c r="K122">
        <f>IFERROR(INDEX('All products'!$K$2:$K$109,MATCH(117,'All products'!$Q$2:$Q$109,0))&amp;"","")</f>
        <v/>
      </c>
      <c r="L122">
        <f>IFERROR(INDEX('All products'!$L$2:$L$109,MATCH(117,'All products'!$Q$2:$Q$109,0))&amp;"","")</f>
        <v/>
      </c>
      <c r="M122">
        <f>IFERROR(INDEX('All products'!$M$2:$M$109,MATCH(117,'All products'!$Q$2:$Q$109,0))&amp;"","")</f>
        <v/>
      </c>
      <c r="N122">
        <f>IFERROR(INDEX('All products'!$N$2:$N$109,MATCH(117,'All products'!$Q$2:$Q$109,0))&amp;"","")</f>
        <v/>
      </c>
      <c r="O122">
        <f>IFERROR(HYPERLINK(INDEX('All products'!$O$2:$O$109,MATCH(117,'All products'!$Q$2:$Q$109,0))),"")</f>
        <v/>
      </c>
    </row>
    <row r="123">
      <c r="A123">
        <f>IFERROR(INDEX('All products'!$A$2:$A$109,MATCH(118,'All products'!$Q$2:$Q$109,0))&amp;"","")</f>
        <v/>
      </c>
      <c r="B123">
        <f>IFERROR(INDEX('All products'!$B$2:$B$109,MATCH(118,'All products'!$Q$2:$Q$109,0))&amp;"","")</f>
        <v/>
      </c>
      <c r="C123">
        <f>IFERROR(INDEX('All products'!$C$2:$C$109,MATCH(118,'All products'!$Q$2:$Q$109,0))&amp;"","")</f>
        <v/>
      </c>
      <c r="D123">
        <f>IFERROR(INDEX('All products'!$D$2:$D$109,MATCH(118,'All products'!$Q$2:$Q$109,0))&amp;"","")</f>
        <v/>
      </c>
      <c r="E123">
        <f>IFERROR(INDEX('All products'!$E$2:$E$109,MATCH(118,'All products'!$Q$2:$Q$109,0))&amp;"","")</f>
        <v/>
      </c>
      <c r="F123">
        <f>IFERROR(INDEX('All products'!$F$2:$F$109,MATCH(118,'All products'!$Q$2:$Q$109,0))&amp;"","")</f>
        <v/>
      </c>
      <c r="G123">
        <f>IFERROR(INDEX('All products'!$G$2:$G$109,MATCH(118,'All products'!$Q$2:$Q$109,0))&amp;"","")</f>
        <v/>
      </c>
      <c r="H123">
        <f>IFERROR(INDEX('All products'!$H$2:$H$109,MATCH(118,'All products'!$Q$2:$Q$109,0))&amp;"","")</f>
        <v/>
      </c>
      <c r="I123">
        <f>IFERROR(INDEX('All products'!$I$2:$I$109,MATCH(118,'All products'!$Q$2:$Q$109,0))&amp;"","")</f>
        <v/>
      </c>
      <c r="J123">
        <f>IFERROR(INDEX('All products'!$J$2:$J$109,MATCH(118,'All products'!$Q$2:$Q$109,0))&amp;"","")</f>
        <v/>
      </c>
      <c r="K123">
        <f>IFERROR(INDEX('All products'!$K$2:$K$109,MATCH(118,'All products'!$Q$2:$Q$109,0))&amp;"","")</f>
        <v/>
      </c>
      <c r="L123">
        <f>IFERROR(INDEX('All products'!$L$2:$L$109,MATCH(118,'All products'!$Q$2:$Q$109,0))&amp;"","")</f>
        <v/>
      </c>
      <c r="M123">
        <f>IFERROR(INDEX('All products'!$M$2:$M$109,MATCH(118,'All products'!$Q$2:$Q$109,0))&amp;"","")</f>
        <v/>
      </c>
      <c r="N123">
        <f>IFERROR(INDEX('All products'!$N$2:$N$109,MATCH(118,'All products'!$Q$2:$Q$109,0))&amp;"","")</f>
        <v/>
      </c>
      <c r="O123">
        <f>IFERROR(HYPERLINK(INDEX('All products'!$O$2:$O$109,MATCH(118,'All products'!$Q$2:$Q$109,0))),"")</f>
        <v/>
      </c>
    </row>
    <row r="124">
      <c r="A124">
        <f>IFERROR(INDEX('All products'!$A$2:$A$109,MATCH(119,'All products'!$Q$2:$Q$109,0))&amp;"","")</f>
        <v/>
      </c>
      <c r="B124">
        <f>IFERROR(INDEX('All products'!$B$2:$B$109,MATCH(119,'All products'!$Q$2:$Q$109,0))&amp;"","")</f>
        <v/>
      </c>
      <c r="C124">
        <f>IFERROR(INDEX('All products'!$C$2:$C$109,MATCH(119,'All products'!$Q$2:$Q$109,0))&amp;"","")</f>
        <v/>
      </c>
      <c r="D124">
        <f>IFERROR(INDEX('All products'!$D$2:$D$109,MATCH(119,'All products'!$Q$2:$Q$109,0))&amp;"","")</f>
        <v/>
      </c>
      <c r="E124">
        <f>IFERROR(INDEX('All products'!$E$2:$E$109,MATCH(119,'All products'!$Q$2:$Q$109,0))&amp;"","")</f>
        <v/>
      </c>
      <c r="F124">
        <f>IFERROR(INDEX('All products'!$F$2:$F$109,MATCH(119,'All products'!$Q$2:$Q$109,0))&amp;"","")</f>
        <v/>
      </c>
      <c r="G124">
        <f>IFERROR(INDEX('All products'!$G$2:$G$109,MATCH(119,'All products'!$Q$2:$Q$109,0))&amp;"","")</f>
        <v/>
      </c>
      <c r="H124">
        <f>IFERROR(INDEX('All products'!$H$2:$H$109,MATCH(119,'All products'!$Q$2:$Q$109,0))&amp;"","")</f>
        <v/>
      </c>
      <c r="I124">
        <f>IFERROR(INDEX('All products'!$I$2:$I$109,MATCH(119,'All products'!$Q$2:$Q$109,0))&amp;"","")</f>
        <v/>
      </c>
      <c r="J124">
        <f>IFERROR(INDEX('All products'!$J$2:$J$109,MATCH(119,'All products'!$Q$2:$Q$109,0))&amp;"","")</f>
        <v/>
      </c>
      <c r="K124">
        <f>IFERROR(INDEX('All products'!$K$2:$K$109,MATCH(119,'All products'!$Q$2:$Q$109,0))&amp;"","")</f>
        <v/>
      </c>
      <c r="L124">
        <f>IFERROR(INDEX('All products'!$L$2:$L$109,MATCH(119,'All products'!$Q$2:$Q$109,0))&amp;"","")</f>
        <v/>
      </c>
      <c r="M124">
        <f>IFERROR(INDEX('All products'!$M$2:$M$109,MATCH(119,'All products'!$Q$2:$Q$109,0))&amp;"","")</f>
        <v/>
      </c>
      <c r="N124">
        <f>IFERROR(INDEX('All products'!$N$2:$N$109,MATCH(119,'All products'!$Q$2:$Q$109,0))&amp;"","")</f>
        <v/>
      </c>
      <c r="O124">
        <f>IFERROR(HYPERLINK(INDEX('All products'!$O$2:$O$109,MATCH(119,'All products'!$Q$2:$Q$109,0))),"")</f>
        <v/>
      </c>
    </row>
    <row r="125">
      <c r="A125">
        <f>IFERROR(INDEX('All products'!$A$2:$A$109,MATCH(120,'All products'!$Q$2:$Q$109,0))&amp;"","")</f>
        <v/>
      </c>
      <c r="B125">
        <f>IFERROR(INDEX('All products'!$B$2:$B$109,MATCH(120,'All products'!$Q$2:$Q$109,0))&amp;"","")</f>
        <v/>
      </c>
      <c r="C125">
        <f>IFERROR(INDEX('All products'!$C$2:$C$109,MATCH(120,'All products'!$Q$2:$Q$109,0))&amp;"","")</f>
        <v/>
      </c>
      <c r="D125">
        <f>IFERROR(INDEX('All products'!$D$2:$D$109,MATCH(120,'All products'!$Q$2:$Q$109,0))&amp;"","")</f>
        <v/>
      </c>
      <c r="E125">
        <f>IFERROR(INDEX('All products'!$E$2:$E$109,MATCH(120,'All products'!$Q$2:$Q$109,0))&amp;"","")</f>
        <v/>
      </c>
      <c r="F125">
        <f>IFERROR(INDEX('All products'!$F$2:$F$109,MATCH(120,'All products'!$Q$2:$Q$109,0))&amp;"","")</f>
        <v/>
      </c>
      <c r="G125">
        <f>IFERROR(INDEX('All products'!$G$2:$G$109,MATCH(120,'All products'!$Q$2:$Q$109,0))&amp;"","")</f>
        <v/>
      </c>
      <c r="H125">
        <f>IFERROR(INDEX('All products'!$H$2:$H$109,MATCH(120,'All products'!$Q$2:$Q$109,0))&amp;"","")</f>
        <v/>
      </c>
      <c r="I125">
        <f>IFERROR(INDEX('All products'!$I$2:$I$109,MATCH(120,'All products'!$Q$2:$Q$109,0))&amp;"","")</f>
        <v/>
      </c>
      <c r="J125">
        <f>IFERROR(INDEX('All products'!$J$2:$J$109,MATCH(120,'All products'!$Q$2:$Q$109,0))&amp;"","")</f>
        <v/>
      </c>
      <c r="K125">
        <f>IFERROR(INDEX('All products'!$K$2:$K$109,MATCH(120,'All products'!$Q$2:$Q$109,0))&amp;"","")</f>
        <v/>
      </c>
      <c r="L125">
        <f>IFERROR(INDEX('All products'!$L$2:$L$109,MATCH(120,'All products'!$Q$2:$Q$109,0))&amp;"","")</f>
        <v/>
      </c>
      <c r="M125">
        <f>IFERROR(INDEX('All products'!$M$2:$M$109,MATCH(120,'All products'!$Q$2:$Q$109,0))&amp;"","")</f>
        <v/>
      </c>
      <c r="N125">
        <f>IFERROR(INDEX('All products'!$N$2:$N$109,MATCH(120,'All products'!$Q$2:$Q$109,0))&amp;"","")</f>
        <v/>
      </c>
      <c r="O125">
        <f>IFERROR(HYPERLINK(INDEX('All products'!$O$2:$O$109,MATCH(120,'All products'!$Q$2:$Q$109,0))),"")</f>
        <v/>
      </c>
    </row>
    <row r="126">
      <c r="A126">
        <f>IFERROR(INDEX('All products'!$A$2:$A$109,MATCH(121,'All products'!$Q$2:$Q$109,0))&amp;"","")</f>
        <v/>
      </c>
      <c r="B126">
        <f>IFERROR(INDEX('All products'!$B$2:$B$109,MATCH(121,'All products'!$Q$2:$Q$109,0))&amp;"","")</f>
        <v/>
      </c>
      <c r="C126">
        <f>IFERROR(INDEX('All products'!$C$2:$C$109,MATCH(121,'All products'!$Q$2:$Q$109,0))&amp;"","")</f>
        <v/>
      </c>
      <c r="D126">
        <f>IFERROR(INDEX('All products'!$D$2:$D$109,MATCH(121,'All products'!$Q$2:$Q$109,0))&amp;"","")</f>
        <v/>
      </c>
      <c r="E126">
        <f>IFERROR(INDEX('All products'!$E$2:$E$109,MATCH(121,'All products'!$Q$2:$Q$109,0))&amp;"","")</f>
        <v/>
      </c>
      <c r="F126">
        <f>IFERROR(INDEX('All products'!$F$2:$F$109,MATCH(121,'All products'!$Q$2:$Q$109,0))&amp;"","")</f>
        <v/>
      </c>
      <c r="G126">
        <f>IFERROR(INDEX('All products'!$G$2:$G$109,MATCH(121,'All products'!$Q$2:$Q$109,0))&amp;"","")</f>
        <v/>
      </c>
      <c r="H126">
        <f>IFERROR(INDEX('All products'!$H$2:$H$109,MATCH(121,'All products'!$Q$2:$Q$109,0))&amp;"","")</f>
        <v/>
      </c>
      <c r="I126">
        <f>IFERROR(INDEX('All products'!$I$2:$I$109,MATCH(121,'All products'!$Q$2:$Q$109,0))&amp;"","")</f>
        <v/>
      </c>
      <c r="J126">
        <f>IFERROR(INDEX('All products'!$J$2:$J$109,MATCH(121,'All products'!$Q$2:$Q$109,0))&amp;"","")</f>
        <v/>
      </c>
      <c r="K126">
        <f>IFERROR(INDEX('All products'!$K$2:$K$109,MATCH(121,'All products'!$Q$2:$Q$109,0))&amp;"","")</f>
        <v/>
      </c>
      <c r="L126">
        <f>IFERROR(INDEX('All products'!$L$2:$L$109,MATCH(121,'All products'!$Q$2:$Q$109,0))&amp;"","")</f>
        <v/>
      </c>
      <c r="M126">
        <f>IFERROR(INDEX('All products'!$M$2:$M$109,MATCH(121,'All products'!$Q$2:$Q$109,0))&amp;"","")</f>
        <v/>
      </c>
      <c r="N126">
        <f>IFERROR(INDEX('All products'!$N$2:$N$109,MATCH(121,'All products'!$Q$2:$Q$109,0))&amp;"","")</f>
        <v/>
      </c>
      <c r="O126">
        <f>IFERROR(HYPERLINK(INDEX('All products'!$O$2:$O$109,MATCH(121,'All products'!$Q$2:$Q$109,0))),"")</f>
        <v/>
      </c>
    </row>
    <row r="127">
      <c r="A127">
        <f>IFERROR(INDEX('All products'!$A$2:$A$109,MATCH(122,'All products'!$Q$2:$Q$109,0))&amp;"","")</f>
        <v/>
      </c>
      <c r="B127">
        <f>IFERROR(INDEX('All products'!$B$2:$B$109,MATCH(122,'All products'!$Q$2:$Q$109,0))&amp;"","")</f>
        <v/>
      </c>
      <c r="C127">
        <f>IFERROR(INDEX('All products'!$C$2:$C$109,MATCH(122,'All products'!$Q$2:$Q$109,0))&amp;"","")</f>
        <v/>
      </c>
      <c r="D127">
        <f>IFERROR(INDEX('All products'!$D$2:$D$109,MATCH(122,'All products'!$Q$2:$Q$109,0))&amp;"","")</f>
        <v/>
      </c>
      <c r="E127">
        <f>IFERROR(INDEX('All products'!$E$2:$E$109,MATCH(122,'All products'!$Q$2:$Q$109,0))&amp;"","")</f>
        <v/>
      </c>
      <c r="F127">
        <f>IFERROR(INDEX('All products'!$F$2:$F$109,MATCH(122,'All products'!$Q$2:$Q$109,0))&amp;"","")</f>
        <v/>
      </c>
      <c r="G127">
        <f>IFERROR(INDEX('All products'!$G$2:$G$109,MATCH(122,'All products'!$Q$2:$Q$109,0))&amp;"","")</f>
        <v/>
      </c>
      <c r="H127">
        <f>IFERROR(INDEX('All products'!$H$2:$H$109,MATCH(122,'All products'!$Q$2:$Q$109,0))&amp;"","")</f>
        <v/>
      </c>
      <c r="I127">
        <f>IFERROR(INDEX('All products'!$I$2:$I$109,MATCH(122,'All products'!$Q$2:$Q$109,0))&amp;"","")</f>
        <v/>
      </c>
      <c r="J127">
        <f>IFERROR(INDEX('All products'!$J$2:$J$109,MATCH(122,'All products'!$Q$2:$Q$109,0))&amp;"","")</f>
        <v/>
      </c>
      <c r="K127">
        <f>IFERROR(INDEX('All products'!$K$2:$K$109,MATCH(122,'All products'!$Q$2:$Q$109,0))&amp;"","")</f>
        <v/>
      </c>
      <c r="L127">
        <f>IFERROR(INDEX('All products'!$L$2:$L$109,MATCH(122,'All products'!$Q$2:$Q$109,0))&amp;"","")</f>
        <v/>
      </c>
      <c r="M127">
        <f>IFERROR(INDEX('All products'!$M$2:$M$109,MATCH(122,'All products'!$Q$2:$Q$109,0))&amp;"","")</f>
        <v/>
      </c>
      <c r="N127">
        <f>IFERROR(INDEX('All products'!$N$2:$N$109,MATCH(122,'All products'!$Q$2:$Q$109,0))&amp;"","")</f>
        <v/>
      </c>
      <c r="O127">
        <f>IFERROR(HYPERLINK(INDEX('All products'!$O$2:$O$109,MATCH(122,'All products'!$Q$2:$Q$109,0))),"")</f>
        <v/>
      </c>
    </row>
    <row r="128">
      <c r="A128">
        <f>IFERROR(INDEX('All products'!$A$2:$A$109,MATCH(123,'All products'!$Q$2:$Q$109,0))&amp;"","")</f>
        <v/>
      </c>
      <c r="B128">
        <f>IFERROR(INDEX('All products'!$B$2:$B$109,MATCH(123,'All products'!$Q$2:$Q$109,0))&amp;"","")</f>
        <v/>
      </c>
      <c r="C128">
        <f>IFERROR(INDEX('All products'!$C$2:$C$109,MATCH(123,'All products'!$Q$2:$Q$109,0))&amp;"","")</f>
        <v/>
      </c>
      <c r="D128">
        <f>IFERROR(INDEX('All products'!$D$2:$D$109,MATCH(123,'All products'!$Q$2:$Q$109,0))&amp;"","")</f>
        <v/>
      </c>
      <c r="E128">
        <f>IFERROR(INDEX('All products'!$E$2:$E$109,MATCH(123,'All products'!$Q$2:$Q$109,0))&amp;"","")</f>
        <v/>
      </c>
      <c r="F128">
        <f>IFERROR(INDEX('All products'!$F$2:$F$109,MATCH(123,'All products'!$Q$2:$Q$109,0))&amp;"","")</f>
        <v/>
      </c>
      <c r="G128">
        <f>IFERROR(INDEX('All products'!$G$2:$G$109,MATCH(123,'All products'!$Q$2:$Q$109,0))&amp;"","")</f>
        <v/>
      </c>
      <c r="H128">
        <f>IFERROR(INDEX('All products'!$H$2:$H$109,MATCH(123,'All products'!$Q$2:$Q$109,0))&amp;"","")</f>
        <v/>
      </c>
      <c r="I128">
        <f>IFERROR(INDEX('All products'!$I$2:$I$109,MATCH(123,'All products'!$Q$2:$Q$109,0))&amp;"","")</f>
        <v/>
      </c>
      <c r="J128">
        <f>IFERROR(INDEX('All products'!$J$2:$J$109,MATCH(123,'All products'!$Q$2:$Q$109,0))&amp;"","")</f>
        <v/>
      </c>
      <c r="K128">
        <f>IFERROR(INDEX('All products'!$K$2:$K$109,MATCH(123,'All products'!$Q$2:$Q$109,0))&amp;"","")</f>
        <v/>
      </c>
      <c r="L128">
        <f>IFERROR(INDEX('All products'!$L$2:$L$109,MATCH(123,'All products'!$Q$2:$Q$109,0))&amp;"","")</f>
        <v/>
      </c>
      <c r="M128">
        <f>IFERROR(INDEX('All products'!$M$2:$M$109,MATCH(123,'All products'!$Q$2:$Q$109,0))&amp;"","")</f>
        <v/>
      </c>
      <c r="N128">
        <f>IFERROR(INDEX('All products'!$N$2:$N$109,MATCH(123,'All products'!$Q$2:$Q$109,0))&amp;"","")</f>
        <v/>
      </c>
      <c r="O128">
        <f>IFERROR(HYPERLINK(INDEX('All products'!$O$2:$O$109,MATCH(123,'All products'!$Q$2:$Q$109,0))),"")</f>
        <v/>
      </c>
    </row>
    <row r="129">
      <c r="A129">
        <f>IFERROR(INDEX('All products'!$A$2:$A$109,MATCH(124,'All products'!$Q$2:$Q$109,0))&amp;"","")</f>
        <v/>
      </c>
      <c r="B129">
        <f>IFERROR(INDEX('All products'!$B$2:$B$109,MATCH(124,'All products'!$Q$2:$Q$109,0))&amp;"","")</f>
        <v/>
      </c>
      <c r="C129">
        <f>IFERROR(INDEX('All products'!$C$2:$C$109,MATCH(124,'All products'!$Q$2:$Q$109,0))&amp;"","")</f>
        <v/>
      </c>
      <c r="D129">
        <f>IFERROR(INDEX('All products'!$D$2:$D$109,MATCH(124,'All products'!$Q$2:$Q$109,0))&amp;"","")</f>
        <v/>
      </c>
      <c r="E129">
        <f>IFERROR(INDEX('All products'!$E$2:$E$109,MATCH(124,'All products'!$Q$2:$Q$109,0))&amp;"","")</f>
        <v/>
      </c>
      <c r="F129">
        <f>IFERROR(INDEX('All products'!$F$2:$F$109,MATCH(124,'All products'!$Q$2:$Q$109,0))&amp;"","")</f>
        <v/>
      </c>
      <c r="G129">
        <f>IFERROR(INDEX('All products'!$G$2:$G$109,MATCH(124,'All products'!$Q$2:$Q$109,0))&amp;"","")</f>
        <v/>
      </c>
      <c r="H129">
        <f>IFERROR(INDEX('All products'!$H$2:$H$109,MATCH(124,'All products'!$Q$2:$Q$109,0))&amp;"","")</f>
        <v/>
      </c>
      <c r="I129">
        <f>IFERROR(INDEX('All products'!$I$2:$I$109,MATCH(124,'All products'!$Q$2:$Q$109,0))&amp;"","")</f>
        <v/>
      </c>
      <c r="J129">
        <f>IFERROR(INDEX('All products'!$J$2:$J$109,MATCH(124,'All products'!$Q$2:$Q$109,0))&amp;"","")</f>
        <v/>
      </c>
      <c r="K129">
        <f>IFERROR(INDEX('All products'!$K$2:$K$109,MATCH(124,'All products'!$Q$2:$Q$109,0))&amp;"","")</f>
        <v/>
      </c>
      <c r="L129">
        <f>IFERROR(INDEX('All products'!$L$2:$L$109,MATCH(124,'All products'!$Q$2:$Q$109,0))&amp;"","")</f>
        <v/>
      </c>
      <c r="M129">
        <f>IFERROR(INDEX('All products'!$M$2:$M$109,MATCH(124,'All products'!$Q$2:$Q$109,0))&amp;"","")</f>
        <v/>
      </c>
      <c r="N129">
        <f>IFERROR(INDEX('All products'!$N$2:$N$109,MATCH(124,'All products'!$Q$2:$Q$109,0))&amp;"","")</f>
        <v/>
      </c>
      <c r="O129">
        <f>IFERROR(HYPERLINK(INDEX('All products'!$O$2:$O$109,MATCH(124,'All products'!$Q$2:$Q$109,0))),"")</f>
        <v/>
      </c>
    </row>
    <row r="130">
      <c r="A130">
        <f>IFERROR(INDEX('All products'!$A$2:$A$109,MATCH(125,'All products'!$Q$2:$Q$109,0))&amp;"","")</f>
        <v/>
      </c>
      <c r="B130">
        <f>IFERROR(INDEX('All products'!$B$2:$B$109,MATCH(125,'All products'!$Q$2:$Q$109,0))&amp;"","")</f>
        <v/>
      </c>
      <c r="C130">
        <f>IFERROR(INDEX('All products'!$C$2:$C$109,MATCH(125,'All products'!$Q$2:$Q$109,0))&amp;"","")</f>
        <v/>
      </c>
      <c r="D130">
        <f>IFERROR(INDEX('All products'!$D$2:$D$109,MATCH(125,'All products'!$Q$2:$Q$109,0))&amp;"","")</f>
        <v/>
      </c>
      <c r="E130">
        <f>IFERROR(INDEX('All products'!$E$2:$E$109,MATCH(125,'All products'!$Q$2:$Q$109,0))&amp;"","")</f>
        <v/>
      </c>
      <c r="F130">
        <f>IFERROR(INDEX('All products'!$F$2:$F$109,MATCH(125,'All products'!$Q$2:$Q$109,0))&amp;"","")</f>
        <v/>
      </c>
      <c r="G130">
        <f>IFERROR(INDEX('All products'!$G$2:$G$109,MATCH(125,'All products'!$Q$2:$Q$109,0))&amp;"","")</f>
        <v/>
      </c>
      <c r="H130">
        <f>IFERROR(INDEX('All products'!$H$2:$H$109,MATCH(125,'All products'!$Q$2:$Q$109,0))&amp;"","")</f>
        <v/>
      </c>
      <c r="I130">
        <f>IFERROR(INDEX('All products'!$I$2:$I$109,MATCH(125,'All products'!$Q$2:$Q$109,0))&amp;"","")</f>
        <v/>
      </c>
      <c r="J130">
        <f>IFERROR(INDEX('All products'!$J$2:$J$109,MATCH(125,'All products'!$Q$2:$Q$109,0))&amp;"","")</f>
        <v/>
      </c>
      <c r="K130">
        <f>IFERROR(INDEX('All products'!$K$2:$K$109,MATCH(125,'All products'!$Q$2:$Q$109,0))&amp;"","")</f>
        <v/>
      </c>
      <c r="L130">
        <f>IFERROR(INDEX('All products'!$L$2:$L$109,MATCH(125,'All products'!$Q$2:$Q$109,0))&amp;"","")</f>
        <v/>
      </c>
      <c r="M130">
        <f>IFERROR(INDEX('All products'!$M$2:$M$109,MATCH(125,'All products'!$Q$2:$Q$109,0))&amp;"","")</f>
        <v/>
      </c>
      <c r="N130">
        <f>IFERROR(INDEX('All products'!$N$2:$N$109,MATCH(125,'All products'!$Q$2:$Q$109,0))&amp;"","")</f>
        <v/>
      </c>
      <c r="O130">
        <f>IFERROR(HYPERLINK(INDEX('All products'!$O$2:$O$109,MATCH(125,'All products'!$Q$2:$Q$109,0))),"")</f>
        <v/>
      </c>
    </row>
    <row r="131">
      <c r="A131">
        <f>IFERROR(INDEX('All products'!$A$2:$A$109,MATCH(126,'All products'!$Q$2:$Q$109,0))&amp;"","")</f>
        <v/>
      </c>
      <c r="B131">
        <f>IFERROR(INDEX('All products'!$B$2:$B$109,MATCH(126,'All products'!$Q$2:$Q$109,0))&amp;"","")</f>
        <v/>
      </c>
      <c r="C131">
        <f>IFERROR(INDEX('All products'!$C$2:$C$109,MATCH(126,'All products'!$Q$2:$Q$109,0))&amp;"","")</f>
        <v/>
      </c>
      <c r="D131">
        <f>IFERROR(INDEX('All products'!$D$2:$D$109,MATCH(126,'All products'!$Q$2:$Q$109,0))&amp;"","")</f>
        <v/>
      </c>
      <c r="E131">
        <f>IFERROR(INDEX('All products'!$E$2:$E$109,MATCH(126,'All products'!$Q$2:$Q$109,0))&amp;"","")</f>
        <v/>
      </c>
      <c r="F131">
        <f>IFERROR(INDEX('All products'!$F$2:$F$109,MATCH(126,'All products'!$Q$2:$Q$109,0))&amp;"","")</f>
        <v/>
      </c>
      <c r="G131">
        <f>IFERROR(INDEX('All products'!$G$2:$G$109,MATCH(126,'All products'!$Q$2:$Q$109,0))&amp;"","")</f>
        <v/>
      </c>
      <c r="H131">
        <f>IFERROR(INDEX('All products'!$H$2:$H$109,MATCH(126,'All products'!$Q$2:$Q$109,0))&amp;"","")</f>
        <v/>
      </c>
      <c r="I131">
        <f>IFERROR(INDEX('All products'!$I$2:$I$109,MATCH(126,'All products'!$Q$2:$Q$109,0))&amp;"","")</f>
        <v/>
      </c>
      <c r="J131">
        <f>IFERROR(INDEX('All products'!$J$2:$J$109,MATCH(126,'All products'!$Q$2:$Q$109,0))&amp;"","")</f>
        <v/>
      </c>
      <c r="K131">
        <f>IFERROR(INDEX('All products'!$K$2:$K$109,MATCH(126,'All products'!$Q$2:$Q$109,0))&amp;"","")</f>
        <v/>
      </c>
      <c r="L131">
        <f>IFERROR(INDEX('All products'!$L$2:$L$109,MATCH(126,'All products'!$Q$2:$Q$109,0))&amp;"","")</f>
        <v/>
      </c>
      <c r="M131">
        <f>IFERROR(INDEX('All products'!$M$2:$M$109,MATCH(126,'All products'!$Q$2:$Q$109,0))&amp;"","")</f>
        <v/>
      </c>
      <c r="N131">
        <f>IFERROR(INDEX('All products'!$N$2:$N$109,MATCH(126,'All products'!$Q$2:$Q$109,0))&amp;"","")</f>
        <v/>
      </c>
      <c r="O131">
        <f>IFERROR(HYPERLINK(INDEX('All products'!$O$2:$O$109,MATCH(126,'All products'!$Q$2:$Q$109,0))),"")</f>
        <v/>
      </c>
    </row>
    <row r="132">
      <c r="A132">
        <f>IFERROR(INDEX('All products'!$A$2:$A$109,MATCH(127,'All products'!$Q$2:$Q$109,0))&amp;"","")</f>
        <v/>
      </c>
      <c r="B132">
        <f>IFERROR(INDEX('All products'!$B$2:$B$109,MATCH(127,'All products'!$Q$2:$Q$109,0))&amp;"","")</f>
        <v/>
      </c>
      <c r="C132">
        <f>IFERROR(INDEX('All products'!$C$2:$C$109,MATCH(127,'All products'!$Q$2:$Q$109,0))&amp;"","")</f>
        <v/>
      </c>
      <c r="D132">
        <f>IFERROR(INDEX('All products'!$D$2:$D$109,MATCH(127,'All products'!$Q$2:$Q$109,0))&amp;"","")</f>
        <v/>
      </c>
      <c r="E132">
        <f>IFERROR(INDEX('All products'!$E$2:$E$109,MATCH(127,'All products'!$Q$2:$Q$109,0))&amp;"","")</f>
        <v/>
      </c>
      <c r="F132">
        <f>IFERROR(INDEX('All products'!$F$2:$F$109,MATCH(127,'All products'!$Q$2:$Q$109,0))&amp;"","")</f>
        <v/>
      </c>
      <c r="G132">
        <f>IFERROR(INDEX('All products'!$G$2:$G$109,MATCH(127,'All products'!$Q$2:$Q$109,0))&amp;"","")</f>
        <v/>
      </c>
      <c r="H132">
        <f>IFERROR(INDEX('All products'!$H$2:$H$109,MATCH(127,'All products'!$Q$2:$Q$109,0))&amp;"","")</f>
        <v/>
      </c>
      <c r="I132">
        <f>IFERROR(INDEX('All products'!$I$2:$I$109,MATCH(127,'All products'!$Q$2:$Q$109,0))&amp;"","")</f>
        <v/>
      </c>
      <c r="J132">
        <f>IFERROR(INDEX('All products'!$J$2:$J$109,MATCH(127,'All products'!$Q$2:$Q$109,0))&amp;"","")</f>
        <v/>
      </c>
      <c r="K132">
        <f>IFERROR(INDEX('All products'!$K$2:$K$109,MATCH(127,'All products'!$Q$2:$Q$109,0))&amp;"","")</f>
        <v/>
      </c>
      <c r="L132">
        <f>IFERROR(INDEX('All products'!$L$2:$L$109,MATCH(127,'All products'!$Q$2:$Q$109,0))&amp;"","")</f>
        <v/>
      </c>
      <c r="M132">
        <f>IFERROR(INDEX('All products'!$M$2:$M$109,MATCH(127,'All products'!$Q$2:$Q$109,0))&amp;"","")</f>
        <v/>
      </c>
      <c r="N132">
        <f>IFERROR(INDEX('All products'!$N$2:$N$109,MATCH(127,'All products'!$Q$2:$Q$109,0))&amp;"","")</f>
        <v/>
      </c>
      <c r="O132">
        <f>IFERROR(HYPERLINK(INDEX('All products'!$O$2:$O$109,MATCH(127,'All products'!$Q$2:$Q$109,0))),"")</f>
        <v/>
      </c>
    </row>
    <row r="133">
      <c r="A133">
        <f>IFERROR(INDEX('All products'!$A$2:$A$109,MATCH(128,'All products'!$Q$2:$Q$109,0))&amp;"","")</f>
        <v/>
      </c>
      <c r="B133">
        <f>IFERROR(INDEX('All products'!$B$2:$B$109,MATCH(128,'All products'!$Q$2:$Q$109,0))&amp;"","")</f>
        <v/>
      </c>
      <c r="C133">
        <f>IFERROR(INDEX('All products'!$C$2:$C$109,MATCH(128,'All products'!$Q$2:$Q$109,0))&amp;"","")</f>
        <v/>
      </c>
      <c r="D133">
        <f>IFERROR(INDEX('All products'!$D$2:$D$109,MATCH(128,'All products'!$Q$2:$Q$109,0))&amp;"","")</f>
        <v/>
      </c>
      <c r="E133">
        <f>IFERROR(INDEX('All products'!$E$2:$E$109,MATCH(128,'All products'!$Q$2:$Q$109,0))&amp;"","")</f>
        <v/>
      </c>
      <c r="F133">
        <f>IFERROR(INDEX('All products'!$F$2:$F$109,MATCH(128,'All products'!$Q$2:$Q$109,0))&amp;"","")</f>
        <v/>
      </c>
      <c r="G133">
        <f>IFERROR(INDEX('All products'!$G$2:$G$109,MATCH(128,'All products'!$Q$2:$Q$109,0))&amp;"","")</f>
        <v/>
      </c>
      <c r="H133">
        <f>IFERROR(INDEX('All products'!$H$2:$H$109,MATCH(128,'All products'!$Q$2:$Q$109,0))&amp;"","")</f>
        <v/>
      </c>
      <c r="I133">
        <f>IFERROR(INDEX('All products'!$I$2:$I$109,MATCH(128,'All products'!$Q$2:$Q$109,0))&amp;"","")</f>
        <v/>
      </c>
      <c r="J133">
        <f>IFERROR(INDEX('All products'!$J$2:$J$109,MATCH(128,'All products'!$Q$2:$Q$109,0))&amp;"","")</f>
        <v/>
      </c>
      <c r="K133">
        <f>IFERROR(INDEX('All products'!$K$2:$K$109,MATCH(128,'All products'!$Q$2:$Q$109,0))&amp;"","")</f>
        <v/>
      </c>
      <c r="L133">
        <f>IFERROR(INDEX('All products'!$L$2:$L$109,MATCH(128,'All products'!$Q$2:$Q$109,0))&amp;"","")</f>
        <v/>
      </c>
      <c r="M133">
        <f>IFERROR(INDEX('All products'!$M$2:$M$109,MATCH(128,'All products'!$Q$2:$Q$109,0))&amp;"","")</f>
        <v/>
      </c>
      <c r="N133">
        <f>IFERROR(INDEX('All products'!$N$2:$N$109,MATCH(128,'All products'!$Q$2:$Q$109,0))&amp;"","")</f>
        <v/>
      </c>
      <c r="O133">
        <f>IFERROR(HYPERLINK(INDEX('All products'!$O$2:$O$109,MATCH(128,'All products'!$Q$2:$Q$109,0))),"")</f>
        <v/>
      </c>
    </row>
    <row r="134">
      <c r="A134">
        <f>IFERROR(INDEX('All products'!$A$2:$A$109,MATCH(129,'All products'!$Q$2:$Q$109,0))&amp;"","")</f>
        <v/>
      </c>
      <c r="B134">
        <f>IFERROR(INDEX('All products'!$B$2:$B$109,MATCH(129,'All products'!$Q$2:$Q$109,0))&amp;"","")</f>
        <v/>
      </c>
      <c r="C134">
        <f>IFERROR(INDEX('All products'!$C$2:$C$109,MATCH(129,'All products'!$Q$2:$Q$109,0))&amp;"","")</f>
        <v/>
      </c>
      <c r="D134">
        <f>IFERROR(INDEX('All products'!$D$2:$D$109,MATCH(129,'All products'!$Q$2:$Q$109,0))&amp;"","")</f>
        <v/>
      </c>
      <c r="E134">
        <f>IFERROR(INDEX('All products'!$E$2:$E$109,MATCH(129,'All products'!$Q$2:$Q$109,0))&amp;"","")</f>
        <v/>
      </c>
      <c r="F134">
        <f>IFERROR(INDEX('All products'!$F$2:$F$109,MATCH(129,'All products'!$Q$2:$Q$109,0))&amp;"","")</f>
        <v/>
      </c>
      <c r="G134">
        <f>IFERROR(INDEX('All products'!$G$2:$G$109,MATCH(129,'All products'!$Q$2:$Q$109,0))&amp;"","")</f>
        <v/>
      </c>
      <c r="H134">
        <f>IFERROR(INDEX('All products'!$H$2:$H$109,MATCH(129,'All products'!$Q$2:$Q$109,0))&amp;"","")</f>
        <v/>
      </c>
      <c r="I134">
        <f>IFERROR(INDEX('All products'!$I$2:$I$109,MATCH(129,'All products'!$Q$2:$Q$109,0))&amp;"","")</f>
        <v/>
      </c>
      <c r="J134">
        <f>IFERROR(INDEX('All products'!$J$2:$J$109,MATCH(129,'All products'!$Q$2:$Q$109,0))&amp;"","")</f>
        <v/>
      </c>
      <c r="K134">
        <f>IFERROR(INDEX('All products'!$K$2:$K$109,MATCH(129,'All products'!$Q$2:$Q$109,0))&amp;"","")</f>
        <v/>
      </c>
      <c r="L134">
        <f>IFERROR(INDEX('All products'!$L$2:$L$109,MATCH(129,'All products'!$Q$2:$Q$109,0))&amp;"","")</f>
        <v/>
      </c>
      <c r="M134">
        <f>IFERROR(INDEX('All products'!$M$2:$M$109,MATCH(129,'All products'!$Q$2:$Q$109,0))&amp;"","")</f>
        <v/>
      </c>
      <c r="N134">
        <f>IFERROR(INDEX('All products'!$N$2:$N$109,MATCH(129,'All products'!$Q$2:$Q$109,0))&amp;"","")</f>
        <v/>
      </c>
      <c r="O134">
        <f>IFERROR(HYPERLINK(INDEX('All products'!$O$2:$O$109,MATCH(129,'All products'!$Q$2:$Q$109,0))),"")</f>
        <v/>
      </c>
    </row>
    <row r="135">
      <c r="A135">
        <f>IFERROR(INDEX('All products'!$A$2:$A$109,MATCH(130,'All products'!$Q$2:$Q$109,0))&amp;"","")</f>
        <v/>
      </c>
      <c r="B135">
        <f>IFERROR(INDEX('All products'!$B$2:$B$109,MATCH(130,'All products'!$Q$2:$Q$109,0))&amp;"","")</f>
        <v/>
      </c>
      <c r="C135">
        <f>IFERROR(INDEX('All products'!$C$2:$C$109,MATCH(130,'All products'!$Q$2:$Q$109,0))&amp;"","")</f>
        <v/>
      </c>
      <c r="D135">
        <f>IFERROR(INDEX('All products'!$D$2:$D$109,MATCH(130,'All products'!$Q$2:$Q$109,0))&amp;"","")</f>
        <v/>
      </c>
      <c r="E135">
        <f>IFERROR(INDEX('All products'!$E$2:$E$109,MATCH(130,'All products'!$Q$2:$Q$109,0))&amp;"","")</f>
        <v/>
      </c>
      <c r="F135">
        <f>IFERROR(INDEX('All products'!$F$2:$F$109,MATCH(130,'All products'!$Q$2:$Q$109,0))&amp;"","")</f>
        <v/>
      </c>
      <c r="G135">
        <f>IFERROR(INDEX('All products'!$G$2:$G$109,MATCH(130,'All products'!$Q$2:$Q$109,0))&amp;"","")</f>
        <v/>
      </c>
      <c r="H135">
        <f>IFERROR(INDEX('All products'!$H$2:$H$109,MATCH(130,'All products'!$Q$2:$Q$109,0))&amp;"","")</f>
        <v/>
      </c>
      <c r="I135">
        <f>IFERROR(INDEX('All products'!$I$2:$I$109,MATCH(130,'All products'!$Q$2:$Q$109,0))&amp;"","")</f>
        <v/>
      </c>
      <c r="J135">
        <f>IFERROR(INDEX('All products'!$J$2:$J$109,MATCH(130,'All products'!$Q$2:$Q$109,0))&amp;"","")</f>
        <v/>
      </c>
      <c r="K135">
        <f>IFERROR(INDEX('All products'!$K$2:$K$109,MATCH(130,'All products'!$Q$2:$Q$109,0))&amp;"","")</f>
        <v/>
      </c>
      <c r="L135">
        <f>IFERROR(INDEX('All products'!$L$2:$L$109,MATCH(130,'All products'!$Q$2:$Q$109,0))&amp;"","")</f>
        <v/>
      </c>
      <c r="M135">
        <f>IFERROR(INDEX('All products'!$M$2:$M$109,MATCH(130,'All products'!$Q$2:$Q$109,0))&amp;"","")</f>
        <v/>
      </c>
      <c r="N135">
        <f>IFERROR(INDEX('All products'!$N$2:$N$109,MATCH(130,'All products'!$Q$2:$Q$109,0))&amp;"","")</f>
        <v/>
      </c>
      <c r="O135">
        <f>IFERROR(HYPERLINK(INDEX('All products'!$O$2:$O$109,MATCH(130,'All products'!$Q$2:$Q$109,0))),"")</f>
        <v/>
      </c>
    </row>
    <row r="136">
      <c r="A136">
        <f>IFERROR(INDEX('All products'!$A$2:$A$109,MATCH(131,'All products'!$Q$2:$Q$109,0))&amp;"","")</f>
        <v/>
      </c>
      <c r="B136">
        <f>IFERROR(INDEX('All products'!$B$2:$B$109,MATCH(131,'All products'!$Q$2:$Q$109,0))&amp;"","")</f>
        <v/>
      </c>
      <c r="C136">
        <f>IFERROR(INDEX('All products'!$C$2:$C$109,MATCH(131,'All products'!$Q$2:$Q$109,0))&amp;"","")</f>
        <v/>
      </c>
      <c r="D136">
        <f>IFERROR(INDEX('All products'!$D$2:$D$109,MATCH(131,'All products'!$Q$2:$Q$109,0))&amp;"","")</f>
        <v/>
      </c>
      <c r="E136">
        <f>IFERROR(INDEX('All products'!$E$2:$E$109,MATCH(131,'All products'!$Q$2:$Q$109,0))&amp;"","")</f>
        <v/>
      </c>
      <c r="F136">
        <f>IFERROR(INDEX('All products'!$F$2:$F$109,MATCH(131,'All products'!$Q$2:$Q$109,0))&amp;"","")</f>
        <v/>
      </c>
      <c r="G136">
        <f>IFERROR(INDEX('All products'!$G$2:$G$109,MATCH(131,'All products'!$Q$2:$Q$109,0))&amp;"","")</f>
        <v/>
      </c>
      <c r="H136">
        <f>IFERROR(INDEX('All products'!$H$2:$H$109,MATCH(131,'All products'!$Q$2:$Q$109,0))&amp;"","")</f>
        <v/>
      </c>
      <c r="I136">
        <f>IFERROR(INDEX('All products'!$I$2:$I$109,MATCH(131,'All products'!$Q$2:$Q$109,0))&amp;"","")</f>
        <v/>
      </c>
      <c r="J136">
        <f>IFERROR(INDEX('All products'!$J$2:$J$109,MATCH(131,'All products'!$Q$2:$Q$109,0))&amp;"","")</f>
        <v/>
      </c>
      <c r="K136">
        <f>IFERROR(INDEX('All products'!$K$2:$K$109,MATCH(131,'All products'!$Q$2:$Q$109,0))&amp;"","")</f>
        <v/>
      </c>
      <c r="L136">
        <f>IFERROR(INDEX('All products'!$L$2:$L$109,MATCH(131,'All products'!$Q$2:$Q$109,0))&amp;"","")</f>
        <v/>
      </c>
      <c r="M136">
        <f>IFERROR(INDEX('All products'!$M$2:$M$109,MATCH(131,'All products'!$Q$2:$Q$109,0))&amp;"","")</f>
        <v/>
      </c>
      <c r="N136">
        <f>IFERROR(INDEX('All products'!$N$2:$N$109,MATCH(131,'All products'!$Q$2:$Q$109,0))&amp;"","")</f>
        <v/>
      </c>
      <c r="O136">
        <f>IFERROR(HYPERLINK(INDEX('All products'!$O$2:$O$109,MATCH(131,'All products'!$Q$2:$Q$109,0))),"")</f>
        <v/>
      </c>
    </row>
    <row r="137">
      <c r="A137">
        <f>IFERROR(INDEX('All products'!$A$2:$A$109,MATCH(132,'All products'!$Q$2:$Q$109,0))&amp;"","")</f>
        <v/>
      </c>
      <c r="B137">
        <f>IFERROR(INDEX('All products'!$B$2:$B$109,MATCH(132,'All products'!$Q$2:$Q$109,0))&amp;"","")</f>
        <v/>
      </c>
      <c r="C137">
        <f>IFERROR(INDEX('All products'!$C$2:$C$109,MATCH(132,'All products'!$Q$2:$Q$109,0))&amp;"","")</f>
        <v/>
      </c>
      <c r="D137">
        <f>IFERROR(INDEX('All products'!$D$2:$D$109,MATCH(132,'All products'!$Q$2:$Q$109,0))&amp;"","")</f>
        <v/>
      </c>
      <c r="E137">
        <f>IFERROR(INDEX('All products'!$E$2:$E$109,MATCH(132,'All products'!$Q$2:$Q$109,0))&amp;"","")</f>
        <v/>
      </c>
      <c r="F137">
        <f>IFERROR(INDEX('All products'!$F$2:$F$109,MATCH(132,'All products'!$Q$2:$Q$109,0))&amp;"","")</f>
        <v/>
      </c>
      <c r="G137">
        <f>IFERROR(INDEX('All products'!$G$2:$G$109,MATCH(132,'All products'!$Q$2:$Q$109,0))&amp;"","")</f>
        <v/>
      </c>
      <c r="H137">
        <f>IFERROR(INDEX('All products'!$H$2:$H$109,MATCH(132,'All products'!$Q$2:$Q$109,0))&amp;"","")</f>
        <v/>
      </c>
      <c r="I137">
        <f>IFERROR(INDEX('All products'!$I$2:$I$109,MATCH(132,'All products'!$Q$2:$Q$109,0))&amp;"","")</f>
        <v/>
      </c>
      <c r="J137">
        <f>IFERROR(INDEX('All products'!$J$2:$J$109,MATCH(132,'All products'!$Q$2:$Q$109,0))&amp;"","")</f>
        <v/>
      </c>
      <c r="K137">
        <f>IFERROR(INDEX('All products'!$K$2:$K$109,MATCH(132,'All products'!$Q$2:$Q$109,0))&amp;"","")</f>
        <v/>
      </c>
      <c r="L137">
        <f>IFERROR(INDEX('All products'!$L$2:$L$109,MATCH(132,'All products'!$Q$2:$Q$109,0))&amp;"","")</f>
        <v/>
      </c>
      <c r="M137">
        <f>IFERROR(INDEX('All products'!$M$2:$M$109,MATCH(132,'All products'!$Q$2:$Q$109,0))&amp;"","")</f>
        <v/>
      </c>
      <c r="N137">
        <f>IFERROR(INDEX('All products'!$N$2:$N$109,MATCH(132,'All products'!$Q$2:$Q$109,0))&amp;"","")</f>
        <v/>
      </c>
      <c r="O137">
        <f>IFERROR(HYPERLINK(INDEX('All products'!$O$2:$O$109,MATCH(132,'All products'!$Q$2:$Q$109,0))),"")</f>
        <v/>
      </c>
    </row>
    <row r="138">
      <c r="A138">
        <f>IFERROR(INDEX('All products'!$A$2:$A$109,MATCH(133,'All products'!$Q$2:$Q$109,0))&amp;"","")</f>
        <v/>
      </c>
      <c r="B138">
        <f>IFERROR(INDEX('All products'!$B$2:$B$109,MATCH(133,'All products'!$Q$2:$Q$109,0))&amp;"","")</f>
        <v/>
      </c>
      <c r="C138">
        <f>IFERROR(INDEX('All products'!$C$2:$C$109,MATCH(133,'All products'!$Q$2:$Q$109,0))&amp;"","")</f>
        <v/>
      </c>
      <c r="D138">
        <f>IFERROR(INDEX('All products'!$D$2:$D$109,MATCH(133,'All products'!$Q$2:$Q$109,0))&amp;"","")</f>
        <v/>
      </c>
      <c r="E138">
        <f>IFERROR(INDEX('All products'!$E$2:$E$109,MATCH(133,'All products'!$Q$2:$Q$109,0))&amp;"","")</f>
        <v/>
      </c>
      <c r="F138">
        <f>IFERROR(INDEX('All products'!$F$2:$F$109,MATCH(133,'All products'!$Q$2:$Q$109,0))&amp;"","")</f>
        <v/>
      </c>
      <c r="G138">
        <f>IFERROR(INDEX('All products'!$G$2:$G$109,MATCH(133,'All products'!$Q$2:$Q$109,0))&amp;"","")</f>
        <v/>
      </c>
      <c r="H138">
        <f>IFERROR(INDEX('All products'!$H$2:$H$109,MATCH(133,'All products'!$Q$2:$Q$109,0))&amp;"","")</f>
        <v/>
      </c>
      <c r="I138">
        <f>IFERROR(INDEX('All products'!$I$2:$I$109,MATCH(133,'All products'!$Q$2:$Q$109,0))&amp;"","")</f>
        <v/>
      </c>
      <c r="J138">
        <f>IFERROR(INDEX('All products'!$J$2:$J$109,MATCH(133,'All products'!$Q$2:$Q$109,0))&amp;"","")</f>
        <v/>
      </c>
      <c r="K138">
        <f>IFERROR(INDEX('All products'!$K$2:$K$109,MATCH(133,'All products'!$Q$2:$Q$109,0))&amp;"","")</f>
        <v/>
      </c>
      <c r="L138">
        <f>IFERROR(INDEX('All products'!$L$2:$L$109,MATCH(133,'All products'!$Q$2:$Q$109,0))&amp;"","")</f>
        <v/>
      </c>
      <c r="M138">
        <f>IFERROR(INDEX('All products'!$M$2:$M$109,MATCH(133,'All products'!$Q$2:$Q$109,0))&amp;"","")</f>
        <v/>
      </c>
      <c r="N138">
        <f>IFERROR(INDEX('All products'!$N$2:$N$109,MATCH(133,'All products'!$Q$2:$Q$109,0))&amp;"","")</f>
        <v/>
      </c>
      <c r="O138">
        <f>IFERROR(HYPERLINK(INDEX('All products'!$O$2:$O$109,MATCH(133,'All products'!$Q$2:$Q$109,0))),"")</f>
        <v/>
      </c>
    </row>
    <row r="139">
      <c r="A139">
        <f>IFERROR(INDEX('All products'!$A$2:$A$109,MATCH(134,'All products'!$Q$2:$Q$109,0))&amp;"","")</f>
        <v/>
      </c>
      <c r="B139">
        <f>IFERROR(INDEX('All products'!$B$2:$B$109,MATCH(134,'All products'!$Q$2:$Q$109,0))&amp;"","")</f>
        <v/>
      </c>
      <c r="C139">
        <f>IFERROR(INDEX('All products'!$C$2:$C$109,MATCH(134,'All products'!$Q$2:$Q$109,0))&amp;"","")</f>
        <v/>
      </c>
      <c r="D139">
        <f>IFERROR(INDEX('All products'!$D$2:$D$109,MATCH(134,'All products'!$Q$2:$Q$109,0))&amp;"","")</f>
        <v/>
      </c>
      <c r="E139">
        <f>IFERROR(INDEX('All products'!$E$2:$E$109,MATCH(134,'All products'!$Q$2:$Q$109,0))&amp;"","")</f>
        <v/>
      </c>
      <c r="F139">
        <f>IFERROR(INDEX('All products'!$F$2:$F$109,MATCH(134,'All products'!$Q$2:$Q$109,0))&amp;"","")</f>
        <v/>
      </c>
      <c r="G139">
        <f>IFERROR(INDEX('All products'!$G$2:$G$109,MATCH(134,'All products'!$Q$2:$Q$109,0))&amp;"","")</f>
        <v/>
      </c>
      <c r="H139">
        <f>IFERROR(INDEX('All products'!$H$2:$H$109,MATCH(134,'All products'!$Q$2:$Q$109,0))&amp;"","")</f>
        <v/>
      </c>
      <c r="I139">
        <f>IFERROR(INDEX('All products'!$I$2:$I$109,MATCH(134,'All products'!$Q$2:$Q$109,0))&amp;"","")</f>
        <v/>
      </c>
      <c r="J139">
        <f>IFERROR(INDEX('All products'!$J$2:$J$109,MATCH(134,'All products'!$Q$2:$Q$109,0))&amp;"","")</f>
        <v/>
      </c>
      <c r="K139">
        <f>IFERROR(INDEX('All products'!$K$2:$K$109,MATCH(134,'All products'!$Q$2:$Q$109,0))&amp;"","")</f>
        <v/>
      </c>
      <c r="L139">
        <f>IFERROR(INDEX('All products'!$L$2:$L$109,MATCH(134,'All products'!$Q$2:$Q$109,0))&amp;"","")</f>
        <v/>
      </c>
      <c r="M139">
        <f>IFERROR(INDEX('All products'!$M$2:$M$109,MATCH(134,'All products'!$Q$2:$Q$109,0))&amp;"","")</f>
        <v/>
      </c>
      <c r="N139">
        <f>IFERROR(INDEX('All products'!$N$2:$N$109,MATCH(134,'All products'!$Q$2:$Q$109,0))&amp;"","")</f>
        <v/>
      </c>
      <c r="O139">
        <f>IFERROR(HYPERLINK(INDEX('All products'!$O$2:$O$109,MATCH(134,'All products'!$Q$2:$Q$109,0))),"")</f>
        <v/>
      </c>
    </row>
    <row r="140">
      <c r="A140">
        <f>IFERROR(INDEX('All products'!$A$2:$A$109,MATCH(135,'All products'!$Q$2:$Q$109,0))&amp;"","")</f>
        <v/>
      </c>
      <c r="B140">
        <f>IFERROR(INDEX('All products'!$B$2:$B$109,MATCH(135,'All products'!$Q$2:$Q$109,0))&amp;"","")</f>
        <v/>
      </c>
      <c r="C140">
        <f>IFERROR(INDEX('All products'!$C$2:$C$109,MATCH(135,'All products'!$Q$2:$Q$109,0))&amp;"","")</f>
        <v/>
      </c>
      <c r="D140">
        <f>IFERROR(INDEX('All products'!$D$2:$D$109,MATCH(135,'All products'!$Q$2:$Q$109,0))&amp;"","")</f>
        <v/>
      </c>
      <c r="E140">
        <f>IFERROR(INDEX('All products'!$E$2:$E$109,MATCH(135,'All products'!$Q$2:$Q$109,0))&amp;"","")</f>
        <v/>
      </c>
      <c r="F140">
        <f>IFERROR(INDEX('All products'!$F$2:$F$109,MATCH(135,'All products'!$Q$2:$Q$109,0))&amp;"","")</f>
        <v/>
      </c>
      <c r="G140">
        <f>IFERROR(INDEX('All products'!$G$2:$G$109,MATCH(135,'All products'!$Q$2:$Q$109,0))&amp;"","")</f>
        <v/>
      </c>
      <c r="H140">
        <f>IFERROR(INDEX('All products'!$H$2:$H$109,MATCH(135,'All products'!$Q$2:$Q$109,0))&amp;"","")</f>
        <v/>
      </c>
      <c r="I140">
        <f>IFERROR(INDEX('All products'!$I$2:$I$109,MATCH(135,'All products'!$Q$2:$Q$109,0))&amp;"","")</f>
        <v/>
      </c>
      <c r="J140">
        <f>IFERROR(INDEX('All products'!$J$2:$J$109,MATCH(135,'All products'!$Q$2:$Q$109,0))&amp;"","")</f>
        <v/>
      </c>
      <c r="K140">
        <f>IFERROR(INDEX('All products'!$K$2:$K$109,MATCH(135,'All products'!$Q$2:$Q$109,0))&amp;"","")</f>
        <v/>
      </c>
      <c r="L140">
        <f>IFERROR(INDEX('All products'!$L$2:$L$109,MATCH(135,'All products'!$Q$2:$Q$109,0))&amp;"","")</f>
        <v/>
      </c>
      <c r="M140">
        <f>IFERROR(INDEX('All products'!$M$2:$M$109,MATCH(135,'All products'!$Q$2:$Q$109,0))&amp;"","")</f>
        <v/>
      </c>
      <c r="N140">
        <f>IFERROR(INDEX('All products'!$N$2:$N$109,MATCH(135,'All products'!$Q$2:$Q$109,0))&amp;"","")</f>
        <v/>
      </c>
      <c r="O140">
        <f>IFERROR(HYPERLINK(INDEX('All products'!$O$2:$O$109,MATCH(135,'All products'!$Q$2:$Q$109,0))),"")</f>
        <v/>
      </c>
    </row>
    <row r="141">
      <c r="A141">
        <f>IFERROR(INDEX('All products'!$A$2:$A$109,MATCH(136,'All products'!$Q$2:$Q$109,0))&amp;"","")</f>
        <v/>
      </c>
      <c r="B141">
        <f>IFERROR(INDEX('All products'!$B$2:$B$109,MATCH(136,'All products'!$Q$2:$Q$109,0))&amp;"","")</f>
        <v/>
      </c>
      <c r="C141">
        <f>IFERROR(INDEX('All products'!$C$2:$C$109,MATCH(136,'All products'!$Q$2:$Q$109,0))&amp;"","")</f>
        <v/>
      </c>
      <c r="D141">
        <f>IFERROR(INDEX('All products'!$D$2:$D$109,MATCH(136,'All products'!$Q$2:$Q$109,0))&amp;"","")</f>
        <v/>
      </c>
      <c r="E141">
        <f>IFERROR(INDEX('All products'!$E$2:$E$109,MATCH(136,'All products'!$Q$2:$Q$109,0))&amp;"","")</f>
        <v/>
      </c>
      <c r="F141">
        <f>IFERROR(INDEX('All products'!$F$2:$F$109,MATCH(136,'All products'!$Q$2:$Q$109,0))&amp;"","")</f>
        <v/>
      </c>
      <c r="G141">
        <f>IFERROR(INDEX('All products'!$G$2:$G$109,MATCH(136,'All products'!$Q$2:$Q$109,0))&amp;"","")</f>
        <v/>
      </c>
      <c r="H141">
        <f>IFERROR(INDEX('All products'!$H$2:$H$109,MATCH(136,'All products'!$Q$2:$Q$109,0))&amp;"","")</f>
        <v/>
      </c>
      <c r="I141">
        <f>IFERROR(INDEX('All products'!$I$2:$I$109,MATCH(136,'All products'!$Q$2:$Q$109,0))&amp;"","")</f>
        <v/>
      </c>
      <c r="J141">
        <f>IFERROR(INDEX('All products'!$J$2:$J$109,MATCH(136,'All products'!$Q$2:$Q$109,0))&amp;"","")</f>
        <v/>
      </c>
      <c r="K141">
        <f>IFERROR(INDEX('All products'!$K$2:$K$109,MATCH(136,'All products'!$Q$2:$Q$109,0))&amp;"","")</f>
        <v/>
      </c>
      <c r="L141">
        <f>IFERROR(INDEX('All products'!$L$2:$L$109,MATCH(136,'All products'!$Q$2:$Q$109,0))&amp;"","")</f>
        <v/>
      </c>
      <c r="M141">
        <f>IFERROR(INDEX('All products'!$M$2:$M$109,MATCH(136,'All products'!$Q$2:$Q$109,0))&amp;"","")</f>
        <v/>
      </c>
      <c r="N141">
        <f>IFERROR(INDEX('All products'!$N$2:$N$109,MATCH(136,'All products'!$Q$2:$Q$109,0))&amp;"","")</f>
        <v/>
      </c>
      <c r="O141">
        <f>IFERROR(HYPERLINK(INDEX('All products'!$O$2:$O$109,MATCH(136,'All products'!$Q$2:$Q$109,0))),"")</f>
        <v/>
      </c>
    </row>
    <row r="142">
      <c r="A142">
        <f>IFERROR(INDEX('All products'!$A$2:$A$109,MATCH(137,'All products'!$Q$2:$Q$109,0))&amp;"","")</f>
        <v/>
      </c>
      <c r="B142">
        <f>IFERROR(INDEX('All products'!$B$2:$B$109,MATCH(137,'All products'!$Q$2:$Q$109,0))&amp;"","")</f>
        <v/>
      </c>
      <c r="C142">
        <f>IFERROR(INDEX('All products'!$C$2:$C$109,MATCH(137,'All products'!$Q$2:$Q$109,0))&amp;"","")</f>
        <v/>
      </c>
      <c r="D142">
        <f>IFERROR(INDEX('All products'!$D$2:$D$109,MATCH(137,'All products'!$Q$2:$Q$109,0))&amp;"","")</f>
        <v/>
      </c>
      <c r="E142">
        <f>IFERROR(INDEX('All products'!$E$2:$E$109,MATCH(137,'All products'!$Q$2:$Q$109,0))&amp;"","")</f>
        <v/>
      </c>
      <c r="F142">
        <f>IFERROR(INDEX('All products'!$F$2:$F$109,MATCH(137,'All products'!$Q$2:$Q$109,0))&amp;"","")</f>
        <v/>
      </c>
      <c r="G142">
        <f>IFERROR(INDEX('All products'!$G$2:$G$109,MATCH(137,'All products'!$Q$2:$Q$109,0))&amp;"","")</f>
        <v/>
      </c>
      <c r="H142">
        <f>IFERROR(INDEX('All products'!$H$2:$H$109,MATCH(137,'All products'!$Q$2:$Q$109,0))&amp;"","")</f>
        <v/>
      </c>
      <c r="I142">
        <f>IFERROR(INDEX('All products'!$I$2:$I$109,MATCH(137,'All products'!$Q$2:$Q$109,0))&amp;"","")</f>
        <v/>
      </c>
      <c r="J142">
        <f>IFERROR(INDEX('All products'!$J$2:$J$109,MATCH(137,'All products'!$Q$2:$Q$109,0))&amp;"","")</f>
        <v/>
      </c>
      <c r="K142">
        <f>IFERROR(INDEX('All products'!$K$2:$K$109,MATCH(137,'All products'!$Q$2:$Q$109,0))&amp;"","")</f>
        <v/>
      </c>
      <c r="L142">
        <f>IFERROR(INDEX('All products'!$L$2:$L$109,MATCH(137,'All products'!$Q$2:$Q$109,0))&amp;"","")</f>
        <v/>
      </c>
      <c r="M142">
        <f>IFERROR(INDEX('All products'!$M$2:$M$109,MATCH(137,'All products'!$Q$2:$Q$109,0))&amp;"","")</f>
        <v/>
      </c>
      <c r="N142">
        <f>IFERROR(INDEX('All products'!$N$2:$N$109,MATCH(137,'All products'!$Q$2:$Q$109,0))&amp;"","")</f>
        <v/>
      </c>
      <c r="O142">
        <f>IFERROR(HYPERLINK(INDEX('All products'!$O$2:$O$109,MATCH(137,'All products'!$Q$2:$Q$109,0))),"")</f>
        <v/>
      </c>
    </row>
    <row r="143">
      <c r="A143">
        <f>IFERROR(INDEX('All products'!$A$2:$A$109,MATCH(138,'All products'!$Q$2:$Q$109,0))&amp;"","")</f>
        <v/>
      </c>
      <c r="B143">
        <f>IFERROR(INDEX('All products'!$B$2:$B$109,MATCH(138,'All products'!$Q$2:$Q$109,0))&amp;"","")</f>
        <v/>
      </c>
      <c r="C143">
        <f>IFERROR(INDEX('All products'!$C$2:$C$109,MATCH(138,'All products'!$Q$2:$Q$109,0))&amp;"","")</f>
        <v/>
      </c>
      <c r="D143">
        <f>IFERROR(INDEX('All products'!$D$2:$D$109,MATCH(138,'All products'!$Q$2:$Q$109,0))&amp;"","")</f>
        <v/>
      </c>
      <c r="E143">
        <f>IFERROR(INDEX('All products'!$E$2:$E$109,MATCH(138,'All products'!$Q$2:$Q$109,0))&amp;"","")</f>
        <v/>
      </c>
      <c r="F143">
        <f>IFERROR(INDEX('All products'!$F$2:$F$109,MATCH(138,'All products'!$Q$2:$Q$109,0))&amp;"","")</f>
        <v/>
      </c>
      <c r="G143">
        <f>IFERROR(INDEX('All products'!$G$2:$G$109,MATCH(138,'All products'!$Q$2:$Q$109,0))&amp;"","")</f>
        <v/>
      </c>
      <c r="H143">
        <f>IFERROR(INDEX('All products'!$H$2:$H$109,MATCH(138,'All products'!$Q$2:$Q$109,0))&amp;"","")</f>
        <v/>
      </c>
      <c r="I143">
        <f>IFERROR(INDEX('All products'!$I$2:$I$109,MATCH(138,'All products'!$Q$2:$Q$109,0))&amp;"","")</f>
        <v/>
      </c>
      <c r="J143">
        <f>IFERROR(INDEX('All products'!$J$2:$J$109,MATCH(138,'All products'!$Q$2:$Q$109,0))&amp;"","")</f>
        <v/>
      </c>
      <c r="K143">
        <f>IFERROR(INDEX('All products'!$K$2:$K$109,MATCH(138,'All products'!$Q$2:$Q$109,0))&amp;"","")</f>
        <v/>
      </c>
      <c r="L143">
        <f>IFERROR(INDEX('All products'!$L$2:$L$109,MATCH(138,'All products'!$Q$2:$Q$109,0))&amp;"","")</f>
        <v/>
      </c>
      <c r="M143">
        <f>IFERROR(INDEX('All products'!$M$2:$M$109,MATCH(138,'All products'!$Q$2:$Q$109,0))&amp;"","")</f>
        <v/>
      </c>
      <c r="N143">
        <f>IFERROR(INDEX('All products'!$N$2:$N$109,MATCH(138,'All products'!$Q$2:$Q$109,0))&amp;"","")</f>
        <v/>
      </c>
      <c r="O143">
        <f>IFERROR(HYPERLINK(INDEX('All products'!$O$2:$O$109,MATCH(138,'All products'!$Q$2:$Q$109,0))),"")</f>
        <v/>
      </c>
    </row>
    <row r="144">
      <c r="A144">
        <f>IFERROR(INDEX('All products'!$A$2:$A$109,MATCH(139,'All products'!$Q$2:$Q$109,0))&amp;"","")</f>
        <v/>
      </c>
      <c r="B144">
        <f>IFERROR(INDEX('All products'!$B$2:$B$109,MATCH(139,'All products'!$Q$2:$Q$109,0))&amp;"","")</f>
        <v/>
      </c>
      <c r="C144">
        <f>IFERROR(INDEX('All products'!$C$2:$C$109,MATCH(139,'All products'!$Q$2:$Q$109,0))&amp;"","")</f>
        <v/>
      </c>
      <c r="D144">
        <f>IFERROR(INDEX('All products'!$D$2:$D$109,MATCH(139,'All products'!$Q$2:$Q$109,0))&amp;"","")</f>
        <v/>
      </c>
      <c r="E144">
        <f>IFERROR(INDEX('All products'!$E$2:$E$109,MATCH(139,'All products'!$Q$2:$Q$109,0))&amp;"","")</f>
        <v/>
      </c>
      <c r="F144">
        <f>IFERROR(INDEX('All products'!$F$2:$F$109,MATCH(139,'All products'!$Q$2:$Q$109,0))&amp;"","")</f>
        <v/>
      </c>
      <c r="G144">
        <f>IFERROR(INDEX('All products'!$G$2:$G$109,MATCH(139,'All products'!$Q$2:$Q$109,0))&amp;"","")</f>
        <v/>
      </c>
      <c r="H144">
        <f>IFERROR(INDEX('All products'!$H$2:$H$109,MATCH(139,'All products'!$Q$2:$Q$109,0))&amp;"","")</f>
        <v/>
      </c>
      <c r="I144">
        <f>IFERROR(INDEX('All products'!$I$2:$I$109,MATCH(139,'All products'!$Q$2:$Q$109,0))&amp;"","")</f>
        <v/>
      </c>
      <c r="J144">
        <f>IFERROR(INDEX('All products'!$J$2:$J$109,MATCH(139,'All products'!$Q$2:$Q$109,0))&amp;"","")</f>
        <v/>
      </c>
      <c r="K144">
        <f>IFERROR(INDEX('All products'!$K$2:$K$109,MATCH(139,'All products'!$Q$2:$Q$109,0))&amp;"","")</f>
        <v/>
      </c>
      <c r="L144">
        <f>IFERROR(INDEX('All products'!$L$2:$L$109,MATCH(139,'All products'!$Q$2:$Q$109,0))&amp;"","")</f>
        <v/>
      </c>
      <c r="M144">
        <f>IFERROR(INDEX('All products'!$M$2:$M$109,MATCH(139,'All products'!$Q$2:$Q$109,0))&amp;"","")</f>
        <v/>
      </c>
      <c r="N144">
        <f>IFERROR(INDEX('All products'!$N$2:$N$109,MATCH(139,'All products'!$Q$2:$Q$109,0))&amp;"","")</f>
        <v/>
      </c>
      <c r="O144">
        <f>IFERROR(HYPERLINK(INDEX('All products'!$O$2:$O$109,MATCH(139,'All products'!$Q$2:$Q$109,0))),"")</f>
        <v/>
      </c>
    </row>
    <row r="145">
      <c r="A145">
        <f>IFERROR(INDEX('All products'!$A$2:$A$109,MATCH(140,'All products'!$Q$2:$Q$109,0))&amp;"","")</f>
        <v/>
      </c>
      <c r="B145">
        <f>IFERROR(INDEX('All products'!$B$2:$B$109,MATCH(140,'All products'!$Q$2:$Q$109,0))&amp;"","")</f>
        <v/>
      </c>
      <c r="C145">
        <f>IFERROR(INDEX('All products'!$C$2:$C$109,MATCH(140,'All products'!$Q$2:$Q$109,0))&amp;"","")</f>
        <v/>
      </c>
      <c r="D145">
        <f>IFERROR(INDEX('All products'!$D$2:$D$109,MATCH(140,'All products'!$Q$2:$Q$109,0))&amp;"","")</f>
        <v/>
      </c>
      <c r="E145">
        <f>IFERROR(INDEX('All products'!$E$2:$E$109,MATCH(140,'All products'!$Q$2:$Q$109,0))&amp;"","")</f>
        <v/>
      </c>
      <c r="F145">
        <f>IFERROR(INDEX('All products'!$F$2:$F$109,MATCH(140,'All products'!$Q$2:$Q$109,0))&amp;"","")</f>
        <v/>
      </c>
      <c r="G145">
        <f>IFERROR(INDEX('All products'!$G$2:$G$109,MATCH(140,'All products'!$Q$2:$Q$109,0))&amp;"","")</f>
        <v/>
      </c>
      <c r="H145">
        <f>IFERROR(INDEX('All products'!$H$2:$H$109,MATCH(140,'All products'!$Q$2:$Q$109,0))&amp;"","")</f>
        <v/>
      </c>
      <c r="I145">
        <f>IFERROR(INDEX('All products'!$I$2:$I$109,MATCH(140,'All products'!$Q$2:$Q$109,0))&amp;"","")</f>
        <v/>
      </c>
      <c r="J145">
        <f>IFERROR(INDEX('All products'!$J$2:$J$109,MATCH(140,'All products'!$Q$2:$Q$109,0))&amp;"","")</f>
        <v/>
      </c>
      <c r="K145">
        <f>IFERROR(INDEX('All products'!$K$2:$K$109,MATCH(140,'All products'!$Q$2:$Q$109,0))&amp;"","")</f>
        <v/>
      </c>
      <c r="L145">
        <f>IFERROR(INDEX('All products'!$L$2:$L$109,MATCH(140,'All products'!$Q$2:$Q$109,0))&amp;"","")</f>
        <v/>
      </c>
      <c r="M145">
        <f>IFERROR(INDEX('All products'!$M$2:$M$109,MATCH(140,'All products'!$Q$2:$Q$109,0))&amp;"","")</f>
        <v/>
      </c>
      <c r="N145">
        <f>IFERROR(INDEX('All products'!$N$2:$N$109,MATCH(140,'All products'!$Q$2:$Q$109,0))&amp;"","")</f>
        <v/>
      </c>
      <c r="O145">
        <f>IFERROR(HYPERLINK(INDEX('All products'!$O$2:$O$109,MATCH(140,'All products'!$Q$2:$Q$109,0))),"")</f>
        <v/>
      </c>
    </row>
    <row r="146">
      <c r="A146">
        <f>IFERROR(INDEX('All products'!$A$2:$A$109,MATCH(141,'All products'!$Q$2:$Q$109,0))&amp;"","")</f>
        <v/>
      </c>
      <c r="B146">
        <f>IFERROR(INDEX('All products'!$B$2:$B$109,MATCH(141,'All products'!$Q$2:$Q$109,0))&amp;"","")</f>
        <v/>
      </c>
      <c r="C146">
        <f>IFERROR(INDEX('All products'!$C$2:$C$109,MATCH(141,'All products'!$Q$2:$Q$109,0))&amp;"","")</f>
        <v/>
      </c>
      <c r="D146">
        <f>IFERROR(INDEX('All products'!$D$2:$D$109,MATCH(141,'All products'!$Q$2:$Q$109,0))&amp;"","")</f>
        <v/>
      </c>
      <c r="E146">
        <f>IFERROR(INDEX('All products'!$E$2:$E$109,MATCH(141,'All products'!$Q$2:$Q$109,0))&amp;"","")</f>
        <v/>
      </c>
      <c r="F146">
        <f>IFERROR(INDEX('All products'!$F$2:$F$109,MATCH(141,'All products'!$Q$2:$Q$109,0))&amp;"","")</f>
        <v/>
      </c>
      <c r="G146">
        <f>IFERROR(INDEX('All products'!$G$2:$G$109,MATCH(141,'All products'!$Q$2:$Q$109,0))&amp;"","")</f>
        <v/>
      </c>
      <c r="H146">
        <f>IFERROR(INDEX('All products'!$H$2:$H$109,MATCH(141,'All products'!$Q$2:$Q$109,0))&amp;"","")</f>
        <v/>
      </c>
      <c r="I146">
        <f>IFERROR(INDEX('All products'!$I$2:$I$109,MATCH(141,'All products'!$Q$2:$Q$109,0))&amp;"","")</f>
        <v/>
      </c>
      <c r="J146">
        <f>IFERROR(INDEX('All products'!$J$2:$J$109,MATCH(141,'All products'!$Q$2:$Q$109,0))&amp;"","")</f>
        <v/>
      </c>
      <c r="K146">
        <f>IFERROR(INDEX('All products'!$K$2:$K$109,MATCH(141,'All products'!$Q$2:$Q$109,0))&amp;"","")</f>
        <v/>
      </c>
      <c r="L146">
        <f>IFERROR(INDEX('All products'!$L$2:$L$109,MATCH(141,'All products'!$Q$2:$Q$109,0))&amp;"","")</f>
        <v/>
      </c>
      <c r="M146">
        <f>IFERROR(INDEX('All products'!$M$2:$M$109,MATCH(141,'All products'!$Q$2:$Q$109,0))&amp;"","")</f>
        <v/>
      </c>
      <c r="N146">
        <f>IFERROR(INDEX('All products'!$N$2:$N$109,MATCH(141,'All products'!$Q$2:$Q$109,0))&amp;"","")</f>
        <v/>
      </c>
      <c r="O146">
        <f>IFERROR(HYPERLINK(INDEX('All products'!$O$2:$O$109,MATCH(141,'All products'!$Q$2:$Q$109,0))),"")</f>
        <v/>
      </c>
    </row>
    <row r="147">
      <c r="A147">
        <f>IFERROR(INDEX('All products'!$A$2:$A$109,MATCH(142,'All products'!$Q$2:$Q$109,0))&amp;"","")</f>
        <v/>
      </c>
      <c r="B147">
        <f>IFERROR(INDEX('All products'!$B$2:$B$109,MATCH(142,'All products'!$Q$2:$Q$109,0))&amp;"","")</f>
        <v/>
      </c>
      <c r="C147">
        <f>IFERROR(INDEX('All products'!$C$2:$C$109,MATCH(142,'All products'!$Q$2:$Q$109,0))&amp;"","")</f>
        <v/>
      </c>
      <c r="D147">
        <f>IFERROR(INDEX('All products'!$D$2:$D$109,MATCH(142,'All products'!$Q$2:$Q$109,0))&amp;"","")</f>
        <v/>
      </c>
      <c r="E147">
        <f>IFERROR(INDEX('All products'!$E$2:$E$109,MATCH(142,'All products'!$Q$2:$Q$109,0))&amp;"","")</f>
        <v/>
      </c>
      <c r="F147">
        <f>IFERROR(INDEX('All products'!$F$2:$F$109,MATCH(142,'All products'!$Q$2:$Q$109,0))&amp;"","")</f>
        <v/>
      </c>
      <c r="G147">
        <f>IFERROR(INDEX('All products'!$G$2:$G$109,MATCH(142,'All products'!$Q$2:$Q$109,0))&amp;"","")</f>
        <v/>
      </c>
      <c r="H147">
        <f>IFERROR(INDEX('All products'!$H$2:$H$109,MATCH(142,'All products'!$Q$2:$Q$109,0))&amp;"","")</f>
        <v/>
      </c>
      <c r="I147">
        <f>IFERROR(INDEX('All products'!$I$2:$I$109,MATCH(142,'All products'!$Q$2:$Q$109,0))&amp;"","")</f>
        <v/>
      </c>
      <c r="J147">
        <f>IFERROR(INDEX('All products'!$J$2:$J$109,MATCH(142,'All products'!$Q$2:$Q$109,0))&amp;"","")</f>
        <v/>
      </c>
      <c r="K147">
        <f>IFERROR(INDEX('All products'!$K$2:$K$109,MATCH(142,'All products'!$Q$2:$Q$109,0))&amp;"","")</f>
        <v/>
      </c>
      <c r="L147">
        <f>IFERROR(INDEX('All products'!$L$2:$L$109,MATCH(142,'All products'!$Q$2:$Q$109,0))&amp;"","")</f>
        <v/>
      </c>
      <c r="M147">
        <f>IFERROR(INDEX('All products'!$M$2:$M$109,MATCH(142,'All products'!$Q$2:$Q$109,0))&amp;"","")</f>
        <v/>
      </c>
      <c r="N147">
        <f>IFERROR(INDEX('All products'!$N$2:$N$109,MATCH(142,'All products'!$Q$2:$Q$109,0))&amp;"","")</f>
        <v/>
      </c>
      <c r="O147">
        <f>IFERROR(HYPERLINK(INDEX('All products'!$O$2:$O$109,MATCH(142,'All products'!$Q$2:$Q$109,0))),"")</f>
        <v/>
      </c>
    </row>
    <row r="148">
      <c r="A148">
        <f>IFERROR(INDEX('All products'!$A$2:$A$109,MATCH(143,'All products'!$Q$2:$Q$109,0))&amp;"","")</f>
        <v/>
      </c>
      <c r="B148">
        <f>IFERROR(INDEX('All products'!$B$2:$B$109,MATCH(143,'All products'!$Q$2:$Q$109,0))&amp;"","")</f>
        <v/>
      </c>
      <c r="C148">
        <f>IFERROR(INDEX('All products'!$C$2:$C$109,MATCH(143,'All products'!$Q$2:$Q$109,0))&amp;"","")</f>
        <v/>
      </c>
      <c r="D148">
        <f>IFERROR(INDEX('All products'!$D$2:$D$109,MATCH(143,'All products'!$Q$2:$Q$109,0))&amp;"","")</f>
        <v/>
      </c>
      <c r="E148">
        <f>IFERROR(INDEX('All products'!$E$2:$E$109,MATCH(143,'All products'!$Q$2:$Q$109,0))&amp;"","")</f>
        <v/>
      </c>
      <c r="F148">
        <f>IFERROR(INDEX('All products'!$F$2:$F$109,MATCH(143,'All products'!$Q$2:$Q$109,0))&amp;"","")</f>
        <v/>
      </c>
      <c r="G148">
        <f>IFERROR(INDEX('All products'!$G$2:$G$109,MATCH(143,'All products'!$Q$2:$Q$109,0))&amp;"","")</f>
        <v/>
      </c>
      <c r="H148">
        <f>IFERROR(INDEX('All products'!$H$2:$H$109,MATCH(143,'All products'!$Q$2:$Q$109,0))&amp;"","")</f>
        <v/>
      </c>
      <c r="I148">
        <f>IFERROR(INDEX('All products'!$I$2:$I$109,MATCH(143,'All products'!$Q$2:$Q$109,0))&amp;"","")</f>
        <v/>
      </c>
      <c r="J148">
        <f>IFERROR(INDEX('All products'!$J$2:$J$109,MATCH(143,'All products'!$Q$2:$Q$109,0))&amp;"","")</f>
        <v/>
      </c>
      <c r="K148">
        <f>IFERROR(INDEX('All products'!$K$2:$K$109,MATCH(143,'All products'!$Q$2:$Q$109,0))&amp;"","")</f>
        <v/>
      </c>
      <c r="L148">
        <f>IFERROR(INDEX('All products'!$L$2:$L$109,MATCH(143,'All products'!$Q$2:$Q$109,0))&amp;"","")</f>
        <v/>
      </c>
      <c r="M148">
        <f>IFERROR(INDEX('All products'!$M$2:$M$109,MATCH(143,'All products'!$Q$2:$Q$109,0))&amp;"","")</f>
        <v/>
      </c>
      <c r="N148">
        <f>IFERROR(INDEX('All products'!$N$2:$N$109,MATCH(143,'All products'!$Q$2:$Q$109,0))&amp;"","")</f>
        <v/>
      </c>
      <c r="O148">
        <f>IFERROR(HYPERLINK(INDEX('All products'!$O$2:$O$109,MATCH(143,'All products'!$Q$2:$Q$109,0))),"")</f>
        <v/>
      </c>
    </row>
    <row r="149">
      <c r="A149">
        <f>IFERROR(INDEX('All products'!$A$2:$A$109,MATCH(144,'All products'!$Q$2:$Q$109,0))&amp;"","")</f>
        <v/>
      </c>
      <c r="B149">
        <f>IFERROR(INDEX('All products'!$B$2:$B$109,MATCH(144,'All products'!$Q$2:$Q$109,0))&amp;"","")</f>
        <v/>
      </c>
      <c r="C149">
        <f>IFERROR(INDEX('All products'!$C$2:$C$109,MATCH(144,'All products'!$Q$2:$Q$109,0))&amp;"","")</f>
        <v/>
      </c>
      <c r="D149">
        <f>IFERROR(INDEX('All products'!$D$2:$D$109,MATCH(144,'All products'!$Q$2:$Q$109,0))&amp;"","")</f>
        <v/>
      </c>
      <c r="E149">
        <f>IFERROR(INDEX('All products'!$E$2:$E$109,MATCH(144,'All products'!$Q$2:$Q$109,0))&amp;"","")</f>
        <v/>
      </c>
      <c r="F149">
        <f>IFERROR(INDEX('All products'!$F$2:$F$109,MATCH(144,'All products'!$Q$2:$Q$109,0))&amp;"","")</f>
        <v/>
      </c>
      <c r="G149">
        <f>IFERROR(INDEX('All products'!$G$2:$G$109,MATCH(144,'All products'!$Q$2:$Q$109,0))&amp;"","")</f>
        <v/>
      </c>
      <c r="H149">
        <f>IFERROR(INDEX('All products'!$H$2:$H$109,MATCH(144,'All products'!$Q$2:$Q$109,0))&amp;"","")</f>
        <v/>
      </c>
      <c r="I149">
        <f>IFERROR(INDEX('All products'!$I$2:$I$109,MATCH(144,'All products'!$Q$2:$Q$109,0))&amp;"","")</f>
        <v/>
      </c>
      <c r="J149">
        <f>IFERROR(INDEX('All products'!$J$2:$J$109,MATCH(144,'All products'!$Q$2:$Q$109,0))&amp;"","")</f>
        <v/>
      </c>
      <c r="K149">
        <f>IFERROR(INDEX('All products'!$K$2:$K$109,MATCH(144,'All products'!$Q$2:$Q$109,0))&amp;"","")</f>
        <v/>
      </c>
      <c r="L149">
        <f>IFERROR(INDEX('All products'!$L$2:$L$109,MATCH(144,'All products'!$Q$2:$Q$109,0))&amp;"","")</f>
        <v/>
      </c>
      <c r="M149">
        <f>IFERROR(INDEX('All products'!$M$2:$M$109,MATCH(144,'All products'!$Q$2:$Q$109,0))&amp;"","")</f>
        <v/>
      </c>
      <c r="N149">
        <f>IFERROR(INDEX('All products'!$N$2:$N$109,MATCH(144,'All products'!$Q$2:$Q$109,0))&amp;"","")</f>
        <v/>
      </c>
      <c r="O149">
        <f>IFERROR(HYPERLINK(INDEX('All products'!$O$2:$O$109,MATCH(144,'All products'!$Q$2:$Q$109,0))),"")</f>
        <v/>
      </c>
    </row>
    <row r="150">
      <c r="A150">
        <f>IFERROR(INDEX('All products'!$A$2:$A$109,MATCH(145,'All products'!$Q$2:$Q$109,0))&amp;"","")</f>
        <v/>
      </c>
      <c r="B150">
        <f>IFERROR(INDEX('All products'!$B$2:$B$109,MATCH(145,'All products'!$Q$2:$Q$109,0))&amp;"","")</f>
        <v/>
      </c>
      <c r="C150">
        <f>IFERROR(INDEX('All products'!$C$2:$C$109,MATCH(145,'All products'!$Q$2:$Q$109,0))&amp;"","")</f>
        <v/>
      </c>
      <c r="D150">
        <f>IFERROR(INDEX('All products'!$D$2:$D$109,MATCH(145,'All products'!$Q$2:$Q$109,0))&amp;"","")</f>
        <v/>
      </c>
      <c r="E150">
        <f>IFERROR(INDEX('All products'!$E$2:$E$109,MATCH(145,'All products'!$Q$2:$Q$109,0))&amp;"","")</f>
        <v/>
      </c>
      <c r="F150">
        <f>IFERROR(INDEX('All products'!$F$2:$F$109,MATCH(145,'All products'!$Q$2:$Q$109,0))&amp;"","")</f>
        <v/>
      </c>
      <c r="G150">
        <f>IFERROR(INDEX('All products'!$G$2:$G$109,MATCH(145,'All products'!$Q$2:$Q$109,0))&amp;"","")</f>
        <v/>
      </c>
      <c r="H150">
        <f>IFERROR(INDEX('All products'!$H$2:$H$109,MATCH(145,'All products'!$Q$2:$Q$109,0))&amp;"","")</f>
        <v/>
      </c>
      <c r="I150">
        <f>IFERROR(INDEX('All products'!$I$2:$I$109,MATCH(145,'All products'!$Q$2:$Q$109,0))&amp;"","")</f>
        <v/>
      </c>
      <c r="J150">
        <f>IFERROR(INDEX('All products'!$J$2:$J$109,MATCH(145,'All products'!$Q$2:$Q$109,0))&amp;"","")</f>
        <v/>
      </c>
      <c r="K150">
        <f>IFERROR(INDEX('All products'!$K$2:$K$109,MATCH(145,'All products'!$Q$2:$Q$109,0))&amp;"","")</f>
        <v/>
      </c>
      <c r="L150">
        <f>IFERROR(INDEX('All products'!$L$2:$L$109,MATCH(145,'All products'!$Q$2:$Q$109,0))&amp;"","")</f>
        <v/>
      </c>
      <c r="M150">
        <f>IFERROR(INDEX('All products'!$M$2:$M$109,MATCH(145,'All products'!$Q$2:$Q$109,0))&amp;"","")</f>
        <v/>
      </c>
      <c r="N150">
        <f>IFERROR(INDEX('All products'!$N$2:$N$109,MATCH(145,'All products'!$Q$2:$Q$109,0))&amp;"","")</f>
        <v/>
      </c>
      <c r="O150">
        <f>IFERROR(HYPERLINK(INDEX('All products'!$O$2:$O$109,MATCH(145,'All products'!$Q$2:$Q$109,0))),"")</f>
        <v/>
      </c>
    </row>
    <row r="151">
      <c r="A151">
        <f>IFERROR(INDEX('All products'!$A$2:$A$109,MATCH(146,'All products'!$Q$2:$Q$109,0))&amp;"","")</f>
        <v/>
      </c>
      <c r="B151">
        <f>IFERROR(INDEX('All products'!$B$2:$B$109,MATCH(146,'All products'!$Q$2:$Q$109,0))&amp;"","")</f>
        <v/>
      </c>
      <c r="C151">
        <f>IFERROR(INDEX('All products'!$C$2:$C$109,MATCH(146,'All products'!$Q$2:$Q$109,0))&amp;"","")</f>
        <v/>
      </c>
      <c r="D151">
        <f>IFERROR(INDEX('All products'!$D$2:$D$109,MATCH(146,'All products'!$Q$2:$Q$109,0))&amp;"","")</f>
        <v/>
      </c>
      <c r="E151">
        <f>IFERROR(INDEX('All products'!$E$2:$E$109,MATCH(146,'All products'!$Q$2:$Q$109,0))&amp;"","")</f>
        <v/>
      </c>
      <c r="F151">
        <f>IFERROR(INDEX('All products'!$F$2:$F$109,MATCH(146,'All products'!$Q$2:$Q$109,0))&amp;"","")</f>
        <v/>
      </c>
      <c r="G151">
        <f>IFERROR(INDEX('All products'!$G$2:$G$109,MATCH(146,'All products'!$Q$2:$Q$109,0))&amp;"","")</f>
        <v/>
      </c>
      <c r="H151">
        <f>IFERROR(INDEX('All products'!$H$2:$H$109,MATCH(146,'All products'!$Q$2:$Q$109,0))&amp;"","")</f>
        <v/>
      </c>
      <c r="I151">
        <f>IFERROR(INDEX('All products'!$I$2:$I$109,MATCH(146,'All products'!$Q$2:$Q$109,0))&amp;"","")</f>
        <v/>
      </c>
      <c r="J151">
        <f>IFERROR(INDEX('All products'!$J$2:$J$109,MATCH(146,'All products'!$Q$2:$Q$109,0))&amp;"","")</f>
        <v/>
      </c>
      <c r="K151">
        <f>IFERROR(INDEX('All products'!$K$2:$K$109,MATCH(146,'All products'!$Q$2:$Q$109,0))&amp;"","")</f>
        <v/>
      </c>
      <c r="L151">
        <f>IFERROR(INDEX('All products'!$L$2:$L$109,MATCH(146,'All products'!$Q$2:$Q$109,0))&amp;"","")</f>
        <v/>
      </c>
      <c r="M151">
        <f>IFERROR(INDEX('All products'!$M$2:$M$109,MATCH(146,'All products'!$Q$2:$Q$109,0))&amp;"","")</f>
        <v/>
      </c>
      <c r="N151">
        <f>IFERROR(INDEX('All products'!$N$2:$N$109,MATCH(146,'All products'!$Q$2:$Q$109,0))&amp;"","")</f>
        <v/>
      </c>
      <c r="O151">
        <f>IFERROR(HYPERLINK(INDEX('All products'!$O$2:$O$109,MATCH(146,'All products'!$Q$2:$Q$109,0))),"")</f>
        <v/>
      </c>
    </row>
    <row r="152">
      <c r="A152">
        <f>IFERROR(INDEX('All products'!$A$2:$A$109,MATCH(147,'All products'!$Q$2:$Q$109,0))&amp;"","")</f>
        <v/>
      </c>
      <c r="B152">
        <f>IFERROR(INDEX('All products'!$B$2:$B$109,MATCH(147,'All products'!$Q$2:$Q$109,0))&amp;"","")</f>
        <v/>
      </c>
      <c r="C152">
        <f>IFERROR(INDEX('All products'!$C$2:$C$109,MATCH(147,'All products'!$Q$2:$Q$109,0))&amp;"","")</f>
        <v/>
      </c>
      <c r="D152">
        <f>IFERROR(INDEX('All products'!$D$2:$D$109,MATCH(147,'All products'!$Q$2:$Q$109,0))&amp;"","")</f>
        <v/>
      </c>
      <c r="E152">
        <f>IFERROR(INDEX('All products'!$E$2:$E$109,MATCH(147,'All products'!$Q$2:$Q$109,0))&amp;"","")</f>
        <v/>
      </c>
      <c r="F152">
        <f>IFERROR(INDEX('All products'!$F$2:$F$109,MATCH(147,'All products'!$Q$2:$Q$109,0))&amp;"","")</f>
        <v/>
      </c>
      <c r="G152">
        <f>IFERROR(INDEX('All products'!$G$2:$G$109,MATCH(147,'All products'!$Q$2:$Q$109,0))&amp;"","")</f>
        <v/>
      </c>
      <c r="H152">
        <f>IFERROR(INDEX('All products'!$H$2:$H$109,MATCH(147,'All products'!$Q$2:$Q$109,0))&amp;"","")</f>
        <v/>
      </c>
      <c r="I152">
        <f>IFERROR(INDEX('All products'!$I$2:$I$109,MATCH(147,'All products'!$Q$2:$Q$109,0))&amp;"","")</f>
        <v/>
      </c>
      <c r="J152">
        <f>IFERROR(INDEX('All products'!$J$2:$J$109,MATCH(147,'All products'!$Q$2:$Q$109,0))&amp;"","")</f>
        <v/>
      </c>
      <c r="K152">
        <f>IFERROR(INDEX('All products'!$K$2:$K$109,MATCH(147,'All products'!$Q$2:$Q$109,0))&amp;"","")</f>
        <v/>
      </c>
      <c r="L152">
        <f>IFERROR(INDEX('All products'!$L$2:$L$109,MATCH(147,'All products'!$Q$2:$Q$109,0))&amp;"","")</f>
        <v/>
      </c>
      <c r="M152">
        <f>IFERROR(INDEX('All products'!$M$2:$M$109,MATCH(147,'All products'!$Q$2:$Q$109,0))&amp;"","")</f>
        <v/>
      </c>
      <c r="N152">
        <f>IFERROR(INDEX('All products'!$N$2:$N$109,MATCH(147,'All products'!$Q$2:$Q$109,0))&amp;"","")</f>
        <v/>
      </c>
      <c r="O152">
        <f>IFERROR(HYPERLINK(INDEX('All products'!$O$2:$O$109,MATCH(147,'All products'!$Q$2:$Q$109,0))),"")</f>
        <v/>
      </c>
    </row>
    <row r="153">
      <c r="A153">
        <f>IFERROR(INDEX('All products'!$A$2:$A$109,MATCH(148,'All products'!$Q$2:$Q$109,0))&amp;"","")</f>
        <v/>
      </c>
      <c r="B153">
        <f>IFERROR(INDEX('All products'!$B$2:$B$109,MATCH(148,'All products'!$Q$2:$Q$109,0))&amp;"","")</f>
        <v/>
      </c>
      <c r="C153">
        <f>IFERROR(INDEX('All products'!$C$2:$C$109,MATCH(148,'All products'!$Q$2:$Q$109,0))&amp;"","")</f>
        <v/>
      </c>
      <c r="D153">
        <f>IFERROR(INDEX('All products'!$D$2:$D$109,MATCH(148,'All products'!$Q$2:$Q$109,0))&amp;"","")</f>
        <v/>
      </c>
      <c r="E153">
        <f>IFERROR(INDEX('All products'!$E$2:$E$109,MATCH(148,'All products'!$Q$2:$Q$109,0))&amp;"","")</f>
        <v/>
      </c>
      <c r="F153">
        <f>IFERROR(INDEX('All products'!$F$2:$F$109,MATCH(148,'All products'!$Q$2:$Q$109,0))&amp;"","")</f>
        <v/>
      </c>
      <c r="G153">
        <f>IFERROR(INDEX('All products'!$G$2:$G$109,MATCH(148,'All products'!$Q$2:$Q$109,0))&amp;"","")</f>
        <v/>
      </c>
      <c r="H153">
        <f>IFERROR(INDEX('All products'!$H$2:$H$109,MATCH(148,'All products'!$Q$2:$Q$109,0))&amp;"","")</f>
        <v/>
      </c>
      <c r="I153">
        <f>IFERROR(INDEX('All products'!$I$2:$I$109,MATCH(148,'All products'!$Q$2:$Q$109,0))&amp;"","")</f>
        <v/>
      </c>
      <c r="J153">
        <f>IFERROR(INDEX('All products'!$J$2:$J$109,MATCH(148,'All products'!$Q$2:$Q$109,0))&amp;"","")</f>
        <v/>
      </c>
      <c r="K153">
        <f>IFERROR(INDEX('All products'!$K$2:$K$109,MATCH(148,'All products'!$Q$2:$Q$109,0))&amp;"","")</f>
        <v/>
      </c>
      <c r="L153">
        <f>IFERROR(INDEX('All products'!$L$2:$L$109,MATCH(148,'All products'!$Q$2:$Q$109,0))&amp;"","")</f>
        <v/>
      </c>
      <c r="M153">
        <f>IFERROR(INDEX('All products'!$M$2:$M$109,MATCH(148,'All products'!$Q$2:$Q$109,0))&amp;"","")</f>
        <v/>
      </c>
      <c r="N153">
        <f>IFERROR(INDEX('All products'!$N$2:$N$109,MATCH(148,'All products'!$Q$2:$Q$109,0))&amp;"","")</f>
        <v/>
      </c>
      <c r="O153">
        <f>IFERROR(HYPERLINK(INDEX('All products'!$O$2:$O$109,MATCH(148,'All products'!$Q$2:$Q$109,0))),"")</f>
        <v/>
      </c>
    </row>
    <row r="154">
      <c r="A154">
        <f>IFERROR(INDEX('All products'!$A$2:$A$109,MATCH(149,'All products'!$Q$2:$Q$109,0))&amp;"","")</f>
        <v/>
      </c>
      <c r="B154">
        <f>IFERROR(INDEX('All products'!$B$2:$B$109,MATCH(149,'All products'!$Q$2:$Q$109,0))&amp;"","")</f>
        <v/>
      </c>
      <c r="C154">
        <f>IFERROR(INDEX('All products'!$C$2:$C$109,MATCH(149,'All products'!$Q$2:$Q$109,0))&amp;"","")</f>
        <v/>
      </c>
      <c r="D154">
        <f>IFERROR(INDEX('All products'!$D$2:$D$109,MATCH(149,'All products'!$Q$2:$Q$109,0))&amp;"","")</f>
        <v/>
      </c>
      <c r="E154">
        <f>IFERROR(INDEX('All products'!$E$2:$E$109,MATCH(149,'All products'!$Q$2:$Q$109,0))&amp;"","")</f>
        <v/>
      </c>
      <c r="F154">
        <f>IFERROR(INDEX('All products'!$F$2:$F$109,MATCH(149,'All products'!$Q$2:$Q$109,0))&amp;"","")</f>
        <v/>
      </c>
      <c r="G154">
        <f>IFERROR(INDEX('All products'!$G$2:$G$109,MATCH(149,'All products'!$Q$2:$Q$109,0))&amp;"","")</f>
        <v/>
      </c>
      <c r="H154">
        <f>IFERROR(INDEX('All products'!$H$2:$H$109,MATCH(149,'All products'!$Q$2:$Q$109,0))&amp;"","")</f>
        <v/>
      </c>
      <c r="I154">
        <f>IFERROR(INDEX('All products'!$I$2:$I$109,MATCH(149,'All products'!$Q$2:$Q$109,0))&amp;"","")</f>
        <v/>
      </c>
      <c r="J154">
        <f>IFERROR(INDEX('All products'!$J$2:$J$109,MATCH(149,'All products'!$Q$2:$Q$109,0))&amp;"","")</f>
        <v/>
      </c>
      <c r="K154">
        <f>IFERROR(INDEX('All products'!$K$2:$K$109,MATCH(149,'All products'!$Q$2:$Q$109,0))&amp;"","")</f>
        <v/>
      </c>
      <c r="L154">
        <f>IFERROR(INDEX('All products'!$L$2:$L$109,MATCH(149,'All products'!$Q$2:$Q$109,0))&amp;"","")</f>
        <v/>
      </c>
      <c r="M154">
        <f>IFERROR(INDEX('All products'!$M$2:$M$109,MATCH(149,'All products'!$Q$2:$Q$109,0))&amp;"","")</f>
        <v/>
      </c>
      <c r="N154">
        <f>IFERROR(INDEX('All products'!$N$2:$N$109,MATCH(149,'All products'!$Q$2:$Q$109,0))&amp;"","")</f>
        <v/>
      </c>
      <c r="O154">
        <f>IFERROR(HYPERLINK(INDEX('All products'!$O$2:$O$109,MATCH(149,'All products'!$Q$2:$Q$109,0))),"")</f>
        <v/>
      </c>
    </row>
    <row r="155">
      <c r="A155">
        <f>IFERROR(INDEX('All products'!$A$2:$A$109,MATCH(150,'All products'!$Q$2:$Q$109,0))&amp;"","")</f>
        <v/>
      </c>
      <c r="B155">
        <f>IFERROR(INDEX('All products'!$B$2:$B$109,MATCH(150,'All products'!$Q$2:$Q$109,0))&amp;"","")</f>
        <v/>
      </c>
      <c r="C155">
        <f>IFERROR(INDEX('All products'!$C$2:$C$109,MATCH(150,'All products'!$Q$2:$Q$109,0))&amp;"","")</f>
        <v/>
      </c>
      <c r="D155">
        <f>IFERROR(INDEX('All products'!$D$2:$D$109,MATCH(150,'All products'!$Q$2:$Q$109,0))&amp;"","")</f>
        <v/>
      </c>
      <c r="E155">
        <f>IFERROR(INDEX('All products'!$E$2:$E$109,MATCH(150,'All products'!$Q$2:$Q$109,0))&amp;"","")</f>
        <v/>
      </c>
      <c r="F155">
        <f>IFERROR(INDEX('All products'!$F$2:$F$109,MATCH(150,'All products'!$Q$2:$Q$109,0))&amp;"","")</f>
        <v/>
      </c>
      <c r="G155">
        <f>IFERROR(INDEX('All products'!$G$2:$G$109,MATCH(150,'All products'!$Q$2:$Q$109,0))&amp;"","")</f>
        <v/>
      </c>
      <c r="H155">
        <f>IFERROR(INDEX('All products'!$H$2:$H$109,MATCH(150,'All products'!$Q$2:$Q$109,0))&amp;"","")</f>
        <v/>
      </c>
      <c r="I155">
        <f>IFERROR(INDEX('All products'!$I$2:$I$109,MATCH(150,'All products'!$Q$2:$Q$109,0))&amp;"","")</f>
        <v/>
      </c>
      <c r="J155">
        <f>IFERROR(INDEX('All products'!$J$2:$J$109,MATCH(150,'All products'!$Q$2:$Q$109,0))&amp;"","")</f>
        <v/>
      </c>
      <c r="K155">
        <f>IFERROR(INDEX('All products'!$K$2:$K$109,MATCH(150,'All products'!$Q$2:$Q$109,0))&amp;"","")</f>
        <v/>
      </c>
      <c r="L155">
        <f>IFERROR(INDEX('All products'!$L$2:$L$109,MATCH(150,'All products'!$Q$2:$Q$109,0))&amp;"","")</f>
        <v/>
      </c>
      <c r="M155">
        <f>IFERROR(INDEX('All products'!$M$2:$M$109,MATCH(150,'All products'!$Q$2:$Q$109,0))&amp;"","")</f>
        <v/>
      </c>
      <c r="N155">
        <f>IFERROR(INDEX('All products'!$N$2:$N$109,MATCH(150,'All products'!$Q$2:$Q$109,0))&amp;"","")</f>
        <v/>
      </c>
      <c r="O155">
        <f>IFERROR(HYPERLINK(INDEX('All products'!$O$2:$O$109,MATCH(150,'All products'!$Q$2:$Q$109,0))),"")</f>
        <v/>
      </c>
    </row>
    <row r="156">
      <c r="A156">
        <f>IFERROR(INDEX('All products'!$A$2:$A$109,MATCH(151,'All products'!$Q$2:$Q$109,0))&amp;"","")</f>
        <v/>
      </c>
      <c r="B156">
        <f>IFERROR(INDEX('All products'!$B$2:$B$109,MATCH(151,'All products'!$Q$2:$Q$109,0))&amp;"","")</f>
        <v/>
      </c>
      <c r="C156">
        <f>IFERROR(INDEX('All products'!$C$2:$C$109,MATCH(151,'All products'!$Q$2:$Q$109,0))&amp;"","")</f>
        <v/>
      </c>
      <c r="D156">
        <f>IFERROR(INDEX('All products'!$D$2:$D$109,MATCH(151,'All products'!$Q$2:$Q$109,0))&amp;"","")</f>
        <v/>
      </c>
      <c r="E156">
        <f>IFERROR(INDEX('All products'!$E$2:$E$109,MATCH(151,'All products'!$Q$2:$Q$109,0))&amp;"","")</f>
        <v/>
      </c>
      <c r="F156">
        <f>IFERROR(INDEX('All products'!$F$2:$F$109,MATCH(151,'All products'!$Q$2:$Q$109,0))&amp;"","")</f>
        <v/>
      </c>
      <c r="G156">
        <f>IFERROR(INDEX('All products'!$G$2:$G$109,MATCH(151,'All products'!$Q$2:$Q$109,0))&amp;"","")</f>
        <v/>
      </c>
      <c r="H156">
        <f>IFERROR(INDEX('All products'!$H$2:$H$109,MATCH(151,'All products'!$Q$2:$Q$109,0))&amp;"","")</f>
        <v/>
      </c>
      <c r="I156">
        <f>IFERROR(INDEX('All products'!$I$2:$I$109,MATCH(151,'All products'!$Q$2:$Q$109,0))&amp;"","")</f>
        <v/>
      </c>
      <c r="J156">
        <f>IFERROR(INDEX('All products'!$J$2:$J$109,MATCH(151,'All products'!$Q$2:$Q$109,0))&amp;"","")</f>
        <v/>
      </c>
      <c r="K156">
        <f>IFERROR(INDEX('All products'!$K$2:$K$109,MATCH(151,'All products'!$Q$2:$Q$109,0))&amp;"","")</f>
        <v/>
      </c>
      <c r="L156">
        <f>IFERROR(INDEX('All products'!$L$2:$L$109,MATCH(151,'All products'!$Q$2:$Q$109,0))&amp;"","")</f>
        <v/>
      </c>
      <c r="M156">
        <f>IFERROR(INDEX('All products'!$M$2:$M$109,MATCH(151,'All products'!$Q$2:$Q$109,0))&amp;"","")</f>
        <v/>
      </c>
      <c r="N156">
        <f>IFERROR(INDEX('All products'!$N$2:$N$109,MATCH(151,'All products'!$Q$2:$Q$109,0))&amp;"","")</f>
        <v/>
      </c>
      <c r="O156">
        <f>IFERROR(HYPERLINK(INDEX('All products'!$O$2:$O$109,MATCH(151,'All products'!$Q$2:$Q$109,0))),"")</f>
        <v/>
      </c>
    </row>
    <row r="157">
      <c r="A157">
        <f>IFERROR(INDEX('All products'!$A$2:$A$109,MATCH(152,'All products'!$Q$2:$Q$109,0))&amp;"","")</f>
        <v/>
      </c>
      <c r="B157">
        <f>IFERROR(INDEX('All products'!$B$2:$B$109,MATCH(152,'All products'!$Q$2:$Q$109,0))&amp;"","")</f>
        <v/>
      </c>
      <c r="C157">
        <f>IFERROR(INDEX('All products'!$C$2:$C$109,MATCH(152,'All products'!$Q$2:$Q$109,0))&amp;"","")</f>
        <v/>
      </c>
      <c r="D157">
        <f>IFERROR(INDEX('All products'!$D$2:$D$109,MATCH(152,'All products'!$Q$2:$Q$109,0))&amp;"","")</f>
        <v/>
      </c>
      <c r="E157">
        <f>IFERROR(INDEX('All products'!$E$2:$E$109,MATCH(152,'All products'!$Q$2:$Q$109,0))&amp;"","")</f>
        <v/>
      </c>
      <c r="F157">
        <f>IFERROR(INDEX('All products'!$F$2:$F$109,MATCH(152,'All products'!$Q$2:$Q$109,0))&amp;"","")</f>
        <v/>
      </c>
      <c r="G157">
        <f>IFERROR(INDEX('All products'!$G$2:$G$109,MATCH(152,'All products'!$Q$2:$Q$109,0))&amp;"","")</f>
        <v/>
      </c>
      <c r="H157">
        <f>IFERROR(INDEX('All products'!$H$2:$H$109,MATCH(152,'All products'!$Q$2:$Q$109,0))&amp;"","")</f>
        <v/>
      </c>
      <c r="I157">
        <f>IFERROR(INDEX('All products'!$I$2:$I$109,MATCH(152,'All products'!$Q$2:$Q$109,0))&amp;"","")</f>
        <v/>
      </c>
      <c r="J157">
        <f>IFERROR(INDEX('All products'!$J$2:$J$109,MATCH(152,'All products'!$Q$2:$Q$109,0))&amp;"","")</f>
        <v/>
      </c>
      <c r="K157">
        <f>IFERROR(INDEX('All products'!$K$2:$K$109,MATCH(152,'All products'!$Q$2:$Q$109,0))&amp;"","")</f>
        <v/>
      </c>
      <c r="L157">
        <f>IFERROR(INDEX('All products'!$L$2:$L$109,MATCH(152,'All products'!$Q$2:$Q$109,0))&amp;"","")</f>
        <v/>
      </c>
      <c r="M157">
        <f>IFERROR(INDEX('All products'!$M$2:$M$109,MATCH(152,'All products'!$Q$2:$Q$109,0))&amp;"","")</f>
        <v/>
      </c>
      <c r="N157">
        <f>IFERROR(INDEX('All products'!$N$2:$N$109,MATCH(152,'All products'!$Q$2:$Q$109,0))&amp;"","")</f>
        <v/>
      </c>
      <c r="O157">
        <f>IFERROR(HYPERLINK(INDEX('All products'!$O$2:$O$109,MATCH(152,'All products'!$Q$2:$Q$109,0))),"")</f>
        <v/>
      </c>
    </row>
    <row r="158">
      <c r="A158">
        <f>IFERROR(INDEX('All products'!$A$2:$A$109,MATCH(153,'All products'!$Q$2:$Q$109,0))&amp;"","")</f>
        <v/>
      </c>
      <c r="B158">
        <f>IFERROR(INDEX('All products'!$B$2:$B$109,MATCH(153,'All products'!$Q$2:$Q$109,0))&amp;"","")</f>
        <v/>
      </c>
      <c r="C158">
        <f>IFERROR(INDEX('All products'!$C$2:$C$109,MATCH(153,'All products'!$Q$2:$Q$109,0))&amp;"","")</f>
        <v/>
      </c>
      <c r="D158">
        <f>IFERROR(INDEX('All products'!$D$2:$D$109,MATCH(153,'All products'!$Q$2:$Q$109,0))&amp;"","")</f>
        <v/>
      </c>
      <c r="E158">
        <f>IFERROR(INDEX('All products'!$E$2:$E$109,MATCH(153,'All products'!$Q$2:$Q$109,0))&amp;"","")</f>
        <v/>
      </c>
      <c r="F158">
        <f>IFERROR(INDEX('All products'!$F$2:$F$109,MATCH(153,'All products'!$Q$2:$Q$109,0))&amp;"","")</f>
        <v/>
      </c>
      <c r="G158">
        <f>IFERROR(INDEX('All products'!$G$2:$G$109,MATCH(153,'All products'!$Q$2:$Q$109,0))&amp;"","")</f>
        <v/>
      </c>
      <c r="H158">
        <f>IFERROR(INDEX('All products'!$H$2:$H$109,MATCH(153,'All products'!$Q$2:$Q$109,0))&amp;"","")</f>
        <v/>
      </c>
      <c r="I158">
        <f>IFERROR(INDEX('All products'!$I$2:$I$109,MATCH(153,'All products'!$Q$2:$Q$109,0))&amp;"","")</f>
        <v/>
      </c>
      <c r="J158">
        <f>IFERROR(INDEX('All products'!$J$2:$J$109,MATCH(153,'All products'!$Q$2:$Q$109,0))&amp;"","")</f>
        <v/>
      </c>
      <c r="K158">
        <f>IFERROR(INDEX('All products'!$K$2:$K$109,MATCH(153,'All products'!$Q$2:$Q$109,0))&amp;"","")</f>
        <v/>
      </c>
      <c r="L158">
        <f>IFERROR(INDEX('All products'!$L$2:$L$109,MATCH(153,'All products'!$Q$2:$Q$109,0))&amp;"","")</f>
        <v/>
      </c>
      <c r="M158">
        <f>IFERROR(INDEX('All products'!$M$2:$M$109,MATCH(153,'All products'!$Q$2:$Q$109,0))&amp;"","")</f>
        <v/>
      </c>
      <c r="N158">
        <f>IFERROR(INDEX('All products'!$N$2:$N$109,MATCH(153,'All products'!$Q$2:$Q$109,0))&amp;"","")</f>
        <v/>
      </c>
      <c r="O158">
        <f>IFERROR(HYPERLINK(INDEX('All products'!$O$2:$O$109,MATCH(153,'All products'!$Q$2:$Q$109,0))),"")</f>
        <v/>
      </c>
    </row>
    <row r="159">
      <c r="A159">
        <f>IFERROR(INDEX('All products'!$A$2:$A$109,MATCH(154,'All products'!$Q$2:$Q$109,0))&amp;"","")</f>
        <v/>
      </c>
      <c r="B159">
        <f>IFERROR(INDEX('All products'!$B$2:$B$109,MATCH(154,'All products'!$Q$2:$Q$109,0))&amp;"","")</f>
        <v/>
      </c>
      <c r="C159">
        <f>IFERROR(INDEX('All products'!$C$2:$C$109,MATCH(154,'All products'!$Q$2:$Q$109,0))&amp;"","")</f>
        <v/>
      </c>
      <c r="D159">
        <f>IFERROR(INDEX('All products'!$D$2:$D$109,MATCH(154,'All products'!$Q$2:$Q$109,0))&amp;"","")</f>
        <v/>
      </c>
      <c r="E159">
        <f>IFERROR(INDEX('All products'!$E$2:$E$109,MATCH(154,'All products'!$Q$2:$Q$109,0))&amp;"","")</f>
        <v/>
      </c>
      <c r="F159">
        <f>IFERROR(INDEX('All products'!$F$2:$F$109,MATCH(154,'All products'!$Q$2:$Q$109,0))&amp;"","")</f>
        <v/>
      </c>
      <c r="G159">
        <f>IFERROR(INDEX('All products'!$G$2:$G$109,MATCH(154,'All products'!$Q$2:$Q$109,0))&amp;"","")</f>
        <v/>
      </c>
      <c r="H159">
        <f>IFERROR(INDEX('All products'!$H$2:$H$109,MATCH(154,'All products'!$Q$2:$Q$109,0))&amp;"","")</f>
        <v/>
      </c>
      <c r="I159">
        <f>IFERROR(INDEX('All products'!$I$2:$I$109,MATCH(154,'All products'!$Q$2:$Q$109,0))&amp;"","")</f>
        <v/>
      </c>
      <c r="J159">
        <f>IFERROR(INDEX('All products'!$J$2:$J$109,MATCH(154,'All products'!$Q$2:$Q$109,0))&amp;"","")</f>
        <v/>
      </c>
      <c r="K159">
        <f>IFERROR(INDEX('All products'!$K$2:$K$109,MATCH(154,'All products'!$Q$2:$Q$109,0))&amp;"","")</f>
        <v/>
      </c>
      <c r="L159">
        <f>IFERROR(INDEX('All products'!$L$2:$L$109,MATCH(154,'All products'!$Q$2:$Q$109,0))&amp;"","")</f>
        <v/>
      </c>
      <c r="M159">
        <f>IFERROR(INDEX('All products'!$M$2:$M$109,MATCH(154,'All products'!$Q$2:$Q$109,0))&amp;"","")</f>
        <v/>
      </c>
      <c r="N159">
        <f>IFERROR(INDEX('All products'!$N$2:$N$109,MATCH(154,'All products'!$Q$2:$Q$109,0))&amp;"","")</f>
        <v/>
      </c>
      <c r="O159">
        <f>IFERROR(HYPERLINK(INDEX('All products'!$O$2:$O$109,MATCH(154,'All products'!$Q$2:$Q$109,0))),"")</f>
        <v/>
      </c>
    </row>
    <row r="160">
      <c r="A160">
        <f>IFERROR(INDEX('All products'!$A$2:$A$109,MATCH(155,'All products'!$Q$2:$Q$109,0))&amp;"","")</f>
        <v/>
      </c>
      <c r="B160">
        <f>IFERROR(INDEX('All products'!$B$2:$B$109,MATCH(155,'All products'!$Q$2:$Q$109,0))&amp;"","")</f>
        <v/>
      </c>
      <c r="C160">
        <f>IFERROR(INDEX('All products'!$C$2:$C$109,MATCH(155,'All products'!$Q$2:$Q$109,0))&amp;"","")</f>
        <v/>
      </c>
      <c r="D160">
        <f>IFERROR(INDEX('All products'!$D$2:$D$109,MATCH(155,'All products'!$Q$2:$Q$109,0))&amp;"","")</f>
        <v/>
      </c>
      <c r="E160">
        <f>IFERROR(INDEX('All products'!$E$2:$E$109,MATCH(155,'All products'!$Q$2:$Q$109,0))&amp;"","")</f>
        <v/>
      </c>
      <c r="F160">
        <f>IFERROR(INDEX('All products'!$F$2:$F$109,MATCH(155,'All products'!$Q$2:$Q$109,0))&amp;"","")</f>
        <v/>
      </c>
      <c r="G160">
        <f>IFERROR(INDEX('All products'!$G$2:$G$109,MATCH(155,'All products'!$Q$2:$Q$109,0))&amp;"","")</f>
        <v/>
      </c>
      <c r="H160">
        <f>IFERROR(INDEX('All products'!$H$2:$H$109,MATCH(155,'All products'!$Q$2:$Q$109,0))&amp;"","")</f>
        <v/>
      </c>
      <c r="I160">
        <f>IFERROR(INDEX('All products'!$I$2:$I$109,MATCH(155,'All products'!$Q$2:$Q$109,0))&amp;"","")</f>
        <v/>
      </c>
      <c r="J160">
        <f>IFERROR(INDEX('All products'!$J$2:$J$109,MATCH(155,'All products'!$Q$2:$Q$109,0))&amp;"","")</f>
        <v/>
      </c>
      <c r="K160">
        <f>IFERROR(INDEX('All products'!$K$2:$K$109,MATCH(155,'All products'!$Q$2:$Q$109,0))&amp;"","")</f>
        <v/>
      </c>
      <c r="L160">
        <f>IFERROR(INDEX('All products'!$L$2:$L$109,MATCH(155,'All products'!$Q$2:$Q$109,0))&amp;"","")</f>
        <v/>
      </c>
      <c r="M160">
        <f>IFERROR(INDEX('All products'!$M$2:$M$109,MATCH(155,'All products'!$Q$2:$Q$109,0))&amp;"","")</f>
        <v/>
      </c>
      <c r="N160">
        <f>IFERROR(INDEX('All products'!$N$2:$N$109,MATCH(155,'All products'!$Q$2:$Q$109,0))&amp;"","")</f>
        <v/>
      </c>
      <c r="O160">
        <f>IFERROR(HYPERLINK(INDEX('All products'!$O$2:$O$109,MATCH(155,'All products'!$Q$2:$Q$109,0))),"")</f>
        <v/>
      </c>
    </row>
    <row r="161">
      <c r="A161">
        <f>IFERROR(INDEX('All products'!$A$2:$A$109,MATCH(156,'All products'!$Q$2:$Q$109,0))&amp;"","")</f>
        <v/>
      </c>
      <c r="B161">
        <f>IFERROR(INDEX('All products'!$B$2:$B$109,MATCH(156,'All products'!$Q$2:$Q$109,0))&amp;"","")</f>
        <v/>
      </c>
      <c r="C161">
        <f>IFERROR(INDEX('All products'!$C$2:$C$109,MATCH(156,'All products'!$Q$2:$Q$109,0))&amp;"","")</f>
        <v/>
      </c>
      <c r="D161">
        <f>IFERROR(INDEX('All products'!$D$2:$D$109,MATCH(156,'All products'!$Q$2:$Q$109,0))&amp;"","")</f>
        <v/>
      </c>
      <c r="E161">
        <f>IFERROR(INDEX('All products'!$E$2:$E$109,MATCH(156,'All products'!$Q$2:$Q$109,0))&amp;"","")</f>
        <v/>
      </c>
      <c r="F161">
        <f>IFERROR(INDEX('All products'!$F$2:$F$109,MATCH(156,'All products'!$Q$2:$Q$109,0))&amp;"","")</f>
        <v/>
      </c>
      <c r="G161">
        <f>IFERROR(INDEX('All products'!$G$2:$G$109,MATCH(156,'All products'!$Q$2:$Q$109,0))&amp;"","")</f>
        <v/>
      </c>
      <c r="H161">
        <f>IFERROR(INDEX('All products'!$H$2:$H$109,MATCH(156,'All products'!$Q$2:$Q$109,0))&amp;"","")</f>
        <v/>
      </c>
      <c r="I161">
        <f>IFERROR(INDEX('All products'!$I$2:$I$109,MATCH(156,'All products'!$Q$2:$Q$109,0))&amp;"","")</f>
        <v/>
      </c>
      <c r="J161">
        <f>IFERROR(INDEX('All products'!$J$2:$J$109,MATCH(156,'All products'!$Q$2:$Q$109,0))&amp;"","")</f>
        <v/>
      </c>
      <c r="K161">
        <f>IFERROR(INDEX('All products'!$K$2:$K$109,MATCH(156,'All products'!$Q$2:$Q$109,0))&amp;"","")</f>
        <v/>
      </c>
      <c r="L161">
        <f>IFERROR(INDEX('All products'!$L$2:$L$109,MATCH(156,'All products'!$Q$2:$Q$109,0))&amp;"","")</f>
        <v/>
      </c>
      <c r="M161">
        <f>IFERROR(INDEX('All products'!$M$2:$M$109,MATCH(156,'All products'!$Q$2:$Q$109,0))&amp;"","")</f>
        <v/>
      </c>
      <c r="N161">
        <f>IFERROR(INDEX('All products'!$N$2:$N$109,MATCH(156,'All products'!$Q$2:$Q$109,0))&amp;"","")</f>
        <v/>
      </c>
      <c r="O161">
        <f>IFERROR(HYPERLINK(INDEX('All products'!$O$2:$O$109,MATCH(156,'All products'!$Q$2:$Q$109,0))),"")</f>
        <v/>
      </c>
    </row>
    <row r="162">
      <c r="A162">
        <f>IFERROR(INDEX('All products'!$A$2:$A$109,MATCH(157,'All products'!$Q$2:$Q$109,0))&amp;"","")</f>
        <v/>
      </c>
      <c r="B162">
        <f>IFERROR(INDEX('All products'!$B$2:$B$109,MATCH(157,'All products'!$Q$2:$Q$109,0))&amp;"","")</f>
        <v/>
      </c>
      <c r="C162">
        <f>IFERROR(INDEX('All products'!$C$2:$C$109,MATCH(157,'All products'!$Q$2:$Q$109,0))&amp;"","")</f>
        <v/>
      </c>
      <c r="D162">
        <f>IFERROR(INDEX('All products'!$D$2:$D$109,MATCH(157,'All products'!$Q$2:$Q$109,0))&amp;"","")</f>
        <v/>
      </c>
      <c r="E162">
        <f>IFERROR(INDEX('All products'!$E$2:$E$109,MATCH(157,'All products'!$Q$2:$Q$109,0))&amp;"","")</f>
        <v/>
      </c>
      <c r="F162">
        <f>IFERROR(INDEX('All products'!$F$2:$F$109,MATCH(157,'All products'!$Q$2:$Q$109,0))&amp;"","")</f>
        <v/>
      </c>
      <c r="G162">
        <f>IFERROR(INDEX('All products'!$G$2:$G$109,MATCH(157,'All products'!$Q$2:$Q$109,0))&amp;"","")</f>
        <v/>
      </c>
      <c r="H162">
        <f>IFERROR(INDEX('All products'!$H$2:$H$109,MATCH(157,'All products'!$Q$2:$Q$109,0))&amp;"","")</f>
        <v/>
      </c>
      <c r="I162">
        <f>IFERROR(INDEX('All products'!$I$2:$I$109,MATCH(157,'All products'!$Q$2:$Q$109,0))&amp;"","")</f>
        <v/>
      </c>
      <c r="J162">
        <f>IFERROR(INDEX('All products'!$J$2:$J$109,MATCH(157,'All products'!$Q$2:$Q$109,0))&amp;"","")</f>
        <v/>
      </c>
      <c r="K162">
        <f>IFERROR(INDEX('All products'!$K$2:$K$109,MATCH(157,'All products'!$Q$2:$Q$109,0))&amp;"","")</f>
        <v/>
      </c>
      <c r="L162">
        <f>IFERROR(INDEX('All products'!$L$2:$L$109,MATCH(157,'All products'!$Q$2:$Q$109,0))&amp;"","")</f>
        <v/>
      </c>
      <c r="M162">
        <f>IFERROR(INDEX('All products'!$M$2:$M$109,MATCH(157,'All products'!$Q$2:$Q$109,0))&amp;"","")</f>
        <v/>
      </c>
      <c r="N162">
        <f>IFERROR(INDEX('All products'!$N$2:$N$109,MATCH(157,'All products'!$Q$2:$Q$109,0))&amp;"","")</f>
        <v/>
      </c>
      <c r="O162">
        <f>IFERROR(HYPERLINK(INDEX('All products'!$O$2:$O$109,MATCH(157,'All products'!$Q$2:$Q$109,0))),"")</f>
        <v/>
      </c>
    </row>
    <row r="163">
      <c r="A163">
        <f>IFERROR(INDEX('All products'!$A$2:$A$109,MATCH(158,'All products'!$Q$2:$Q$109,0))&amp;"","")</f>
        <v/>
      </c>
      <c r="B163">
        <f>IFERROR(INDEX('All products'!$B$2:$B$109,MATCH(158,'All products'!$Q$2:$Q$109,0))&amp;"","")</f>
        <v/>
      </c>
      <c r="C163">
        <f>IFERROR(INDEX('All products'!$C$2:$C$109,MATCH(158,'All products'!$Q$2:$Q$109,0))&amp;"","")</f>
        <v/>
      </c>
      <c r="D163">
        <f>IFERROR(INDEX('All products'!$D$2:$D$109,MATCH(158,'All products'!$Q$2:$Q$109,0))&amp;"","")</f>
        <v/>
      </c>
      <c r="E163">
        <f>IFERROR(INDEX('All products'!$E$2:$E$109,MATCH(158,'All products'!$Q$2:$Q$109,0))&amp;"","")</f>
        <v/>
      </c>
      <c r="F163">
        <f>IFERROR(INDEX('All products'!$F$2:$F$109,MATCH(158,'All products'!$Q$2:$Q$109,0))&amp;"","")</f>
        <v/>
      </c>
      <c r="G163">
        <f>IFERROR(INDEX('All products'!$G$2:$G$109,MATCH(158,'All products'!$Q$2:$Q$109,0))&amp;"","")</f>
        <v/>
      </c>
      <c r="H163">
        <f>IFERROR(INDEX('All products'!$H$2:$H$109,MATCH(158,'All products'!$Q$2:$Q$109,0))&amp;"","")</f>
        <v/>
      </c>
      <c r="I163">
        <f>IFERROR(INDEX('All products'!$I$2:$I$109,MATCH(158,'All products'!$Q$2:$Q$109,0))&amp;"","")</f>
        <v/>
      </c>
      <c r="J163">
        <f>IFERROR(INDEX('All products'!$J$2:$J$109,MATCH(158,'All products'!$Q$2:$Q$109,0))&amp;"","")</f>
        <v/>
      </c>
      <c r="K163">
        <f>IFERROR(INDEX('All products'!$K$2:$K$109,MATCH(158,'All products'!$Q$2:$Q$109,0))&amp;"","")</f>
        <v/>
      </c>
      <c r="L163">
        <f>IFERROR(INDEX('All products'!$L$2:$L$109,MATCH(158,'All products'!$Q$2:$Q$109,0))&amp;"","")</f>
        <v/>
      </c>
      <c r="M163">
        <f>IFERROR(INDEX('All products'!$M$2:$M$109,MATCH(158,'All products'!$Q$2:$Q$109,0))&amp;"","")</f>
        <v/>
      </c>
      <c r="N163">
        <f>IFERROR(INDEX('All products'!$N$2:$N$109,MATCH(158,'All products'!$Q$2:$Q$109,0))&amp;"","")</f>
        <v/>
      </c>
      <c r="O163">
        <f>IFERROR(HYPERLINK(INDEX('All products'!$O$2:$O$109,MATCH(158,'All products'!$Q$2:$Q$109,0))),"")</f>
        <v/>
      </c>
    </row>
    <row r="164">
      <c r="A164">
        <f>IFERROR(INDEX('All products'!$A$2:$A$109,MATCH(159,'All products'!$Q$2:$Q$109,0))&amp;"","")</f>
        <v/>
      </c>
      <c r="B164">
        <f>IFERROR(INDEX('All products'!$B$2:$B$109,MATCH(159,'All products'!$Q$2:$Q$109,0))&amp;"","")</f>
        <v/>
      </c>
      <c r="C164">
        <f>IFERROR(INDEX('All products'!$C$2:$C$109,MATCH(159,'All products'!$Q$2:$Q$109,0))&amp;"","")</f>
        <v/>
      </c>
      <c r="D164">
        <f>IFERROR(INDEX('All products'!$D$2:$D$109,MATCH(159,'All products'!$Q$2:$Q$109,0))&amp;"","")</f>
        <v/>
      </c>
      <c r="E164">
        <f>IFERROR(INDEX('All products'!$E$2:$E$109,MATCH(159,'All products'!$Q$2:$Q$109,0))&amp;"","")</f>
        <v/>
      </c>
      <c r="F164">
        <f>IFERROR(INDEX('All products'!$F$2:$F$109,MATCH(159,'All products'!$Q$2:$Q$109,0))&amp;"","")</f>
        <v/>
      </c>
      <c r="G164">
        <f>IFERROR(INDEX('All products'!$G$2:$G$109,MATCH(159,'All products'!$Q$2:$Q$109,0))&amp;"","")</f>
        <v/>
      </c>
      <c r="H164">
        <f>IFERROR(INDEX('All products'!$H$2:$H$109,MATCH(159,'All products'!$Q$2:$Q$109,0))&amp;"","")</f>
        <v/>
      </c>
      <c r="I164">
        <f>IFERROR(INDEX('All products'!$I$2:$I$109,MATCH(159,'All products'!$Q$2:$Q$109,0))&amp;"","")</f>
        <v/>
      </c>
      <c r="J164">
        <f>IFERROR(INDEX('All products'!$J$2:$J$109,MATCH(159,'All products'!$Q$2:$Q$109,0))&amp;"","")</f>
        <v/>
      </c>
      <c r="K164">
        <f>IFERROR(INDEX('All products'!$K$2:$K$109,MATCH(159,'All products'!$Q$2:$Q$109,0))&amp;"","")</f>
        <v/>
      </c>
      <c r="L164">
        <f>IFERROR(INDEX('All products'!$L$2:$L$109,MATCH(159,'All products'!$Q$2:$Q$109,0))&amp;"","")</f>
        <v/>
      </c>
      <c r="M164">
        <f>IFERROR(INDEX('All products'!$M$2:$M$109,MATCH(159,'All products'!$Q$2:$Q$109,0))&amp;"","")</f>
        <v/>
      </c>
      <c r="N164">
        <f>IFERROR(INDEX('All products'!$N$2:$N$109,MATCH(159,'All products'!$Q$2:$Q$109,0))&amp;"","")</f>
        <v/>
      </c>
      <c r="O164">
        <f>IFERROR(HYPERLINK(INDEX('All products'!$O$2:$O$109,MATCH(159,'All products'!$Q$2:$Q$109,0))),"")</f>
        <v/>
      </c>
    </row>
    <row r="165">
      <c r="A165">
        <f>IFERROR(INDEX('All products'!$A$2:$A$109,MATCH(160,'All products'!$Q$2:$Q$109,0))&amp;"","")</f>
        <v/>
      </c>
      <c r="B165">
        <f>IFERROR(INDEX('All products'!$B$2:$B$109,MATCH(160,'All products'!$Q$2:$Q$109,0))&amp;"","")</f>
        <v/>
      </c>
      <c r="C165">
        <f>IFERROR(INDEX('All products'!$C$2:$C$109,MATCH(160,'All products'!$Q$2:$Q$109,0))&amp;"","")</f>
        <v/>
      </c>
      <c r="D165">
        <f>IFERROR(INDEX('All products'!$D$2:$D$109,MATCH(160,'All products'!$Q$2:$Q$109,0))&amp;"","")</f>
        <v/>
      </c>
      <c r="E165">
        <f>IFERROR(INDEX('All products'!$E$2:$E$109,MATCH(160,'All products'!$Q$2:$Q$109,0))&amp;"","")</f>
        <v/>
      </c>
      <c r="F165">
        <f>IFERROR(INDEX('All products'!$F$2:$F$109,MATCH(160,'All products'!$Q$2:$Q$109,0))&amp;"","")</f>
        <v/>
      </c>
      <c r="G165">
        <f>IFERROR(INDEX('All products'!$G$2:$G$109,MATCH(160,'All products'!$Q$2:$Q$109,0))&amp;"","")</f>
        <v/>
      </c>
      <c r="H165">
        <f>IFERROR(INDEX('All products'!$H$2:$H$109,MATCH(160,'All products'!$Q$2:$Q$109,0))&amp;"","")</f>
        <v/>
      </c>
      <c r="I165">
        <f>IFERROR(INDEX('All products'!$I$2:$I$109,MATCH(160,'All products'!$Q$2:$Q$109,0))&amp;"","")</f>
        <v/>
      </c>
      <c r="J165">
        <f>IFERROR(INDEX('All products'!$J$2:$J$109,MATCH(160,'All products'!$Q$2:$Q$109,0))&amp;"","")</f>
        <v/>
      </c>
      <c r="K165">
        <f>IFERROR(INDEX('All products'!$K$2:$K$109,MATCH(160,'All products'!$Q$2:$Q$109,0))&amp;"","")</f>
        <v/>
      </c>
      <c r="L165">
        <f>IFERROR(INDEX('All products'!$L$2:$L$109,MATCH(160,'All products'!$Q$2:$Q$109,0))&amp;"","")</f>
        <v/>
      </c>
      <c r="M165">
        <f>IFERROR(INDEX('All products'!$M$2:$M$109,MATCH(160,'All products'!$Q$2:$Q$109,0))&amp;"","")</f>
        <v/>
      </c>
      <c r="N165">
        <f>IFERROR(INDEX('All products'!$N$2:$N$109,MATCH(160,'All products'!$Q$2:$Q$109,0))&amp;"","")</f>
        <v/>
      </c>
      <c r="O165">
        <f>IFERROR(HYPERLINK(INDEX('All products'!$O$2:$O$109,MATCH(160,'All products'!$Q$2:$Q$109,0))),"")</f>
        <v/>
      </c>
    </row>
    <row r="166">
      <c r="A166">
        <f>IFERROR(INDEX('All products'!$A$2:$A$109,MATCH(161,'All products'!$Q$2:$Q$109,0))&amp;"","")</f>
        <v/>
      </c>
      <c r="B166">
        <f>IFERROR(INDEX('All products'!$B$2:$B$109,MATCH(161,'All products'!$Q$2:$Q$109,0))&amp;"","")</f>
        <v/>
      </c>
      <c r="C166">
        <f>IFERROR(INDEX('All products'!$C$2:$C$109,MATCH(161,'All products'!$Q$2:$Q$109,0))&amp;"","")</f>
        <v/>
      </c>
      <c r="D166">
        <f>IFERROR(INDEX('All products'!$D$2:$D$109,MATCH(161,'All products'!$Q$2:$Q$109,0))&amp;"","")</f>
        <v/>
      </c>
      <c r="E166">
        <f>IFERROR(INDEX('All products'!$E$2:$E$109,MATCH(161,'All products'!$Q$2:$Q$109,0))&amp;"","")</f>
        <v/>
      </c>
      <c r="F166">
        <f>IFERROR(INDEX('All products'!$F$2:$F$109,MATCH(161,'All products'!$Q$2:$Q$109,0))&amp;"","")</f>
        <v/>
      </c>
      <c r="G166">
        <f>IFERROR(INDEX('All products'!$G$2:$G$109,MATCH(161,'All products'!$Q$2:$Q$109,0))&amp;"","")</f>
        <v/>
      </c>
      <c r="H166">
        <f>IFERROR(INDEX('All products'!$H$2:$H$109,MATCH(161,'All products'!$Q$2:$Q$109,0))&amp;"","")</f>
        <v/>
      </c>
      <c r="I166">
        <f>IFERROR(INDEX('All products'!$I$2:$I$109,MATCH(161,'All products'!$Q$2:$Q$109,0))&amp;"","")</f>
        <v/>
      </c>
      <c r="J166">
        <f>IFERROR(INDEX('All products'!$J$2:$J$109,MATCH(161,'All products'!$Q$2:$Q$109,0))&amp;"","")</f>
        <v/>
      </c>
      <c r="K166">
        <f>IFERROR(INDEX('All products'!$K$2:$K$109,MATCH(161,'All products'!$Q$2:$Q$109,0))&amp;"","")</f>
        <v/>
      </c>
      <c r="L166">
        <f>IFERROR(INDEX('All products'!$L$2:$L$109,MATCH(161,'All products'!$Q$2:$Q$109,0))&amp;"","")</f>
        <v/>
      </c>
      <c r="M166">
        <f>IFERROR(INDEX('All products'!$M$2:$M$109,MATCH(161,'All products'!$Q$2:$Q$109,0))&amp;"","")</f>
        <v/>
      </c>
      <c r="N166">
        <f>IFERROR(INDEX('All products'!$N$2:$N$109,MATCH(161,'All products'!$Q$2:$Q$109,0))&amp;"","")</f>
        <v/>
      </c>
      <c r="O166">
        <f>IFERROR(HYPERLINK(INDEX('All products'!$O$2:$O$109,MATCH(161,'All products'!$Q$2:$Q$109,0))),"")</f>
        <v/>
      </c>
    </row>
    <row r="167">
      <c r="A167">
        <f>IFERROR(INDEX('All products'!$A$2:$A$109,MATCH(162,'All products'!$Q$2:$Q$109,0))&amp;"","")</f>
        <v/>
      </c>
      <c r="B167">
        <f>IFERROR(INDEX('All products'!$B$2:$B$109,MATCH(162,'All products'!$Q$2:$Q$109,0))&amp;"","")</f>
        <v/>
      </c>
      <c r="C167">
        <f>IFERROR(INDEX('All products'!$C$2:$C$109,MATCH(162,'All products'!$Q$2:$Q$109,0))&amp;"","")</f>
        <v/>
      </c>
      <c r="D167">
        <f>IFERROR(INDEX('All products'!$D$2:$D$109,MATCH(162,'All products'!$Q$2:$Q$109,0))&amp;"","")</f>
        <v/>
      </c>
      <c r="E167">
        <f>IFERROR(INDEX('All products'!$E$2:$E$109,MATCH(162,'All products'!$Q$2:$Q$109,0))&amp;"","")</f>
        <v/>
      </c>
      <c r="F167">
        <f>IFERROR(INDEX('All products'!$F$2:$F$109,MATCH(162,'All products'!$Q$2:$Q$109,0))&amp;"","")</f>
        <v/>
      </c>
      <c r="G167">
        <f>IFERROR(INDEX('All products'!$G$2:$G$109,MATCH(162,'All products'!$Q$2:$Q$109,0))&amp;"","")</f>
        <v/>
      </c>
      <c r="H167">
        <f>IFERROR(INDEX('All products'!$H$2:$H$109,MATCH(162,'All products'!$Q$2:$Q$109,0))&amp;"","")</f>
        <v/>
      </c>
      <c r="I167">
        <f>IFERROR(INDEX('All products'!$I$2:$I$109,MATCH(162,'All products'!$Q$2:$Q$109,0))&amp;"","")</f>
        <v/>
      </c>
      <c r="J167">
        <f>IFERROR(INDEX('All products'!$J$2:$J$109,MATCH(162,'All products'!$Q$2:$Q$109,0))&amp;"","")</f>
        <v/>
      </c>
      <c r="K167">
        <f>IFERROR(INDEX('All products'!$K$2:$K$109,MATCH(162,'All products'!$Q$2:$Q$109,0))&amp;"","")</f>
        <v/>
      </c>
      <c r="L167">
        <f>IFERROR(INDEX('All products'!$L$2:$L$109,MATCH(162,'All products'!$Q$2:$Q$109,0))&amp;"","")</f>
        <v/>
      </c>
      <c r="M167">
        <f>IFERROR(INDEX('All products'!$M$2:$M$109,MATCH(162,'All products'!$Q$2:$Q$109,0))&amp;"","")</f>
        <v/>
      </c>
      <c r="N167">
        <f>IFERROR(INDEX('All products'!$N$2:$N$109,MATCH(162,'All products'!$Q$2:$Q$109,0))&amp;"","")</f>
        <v/>
      </c>
      <c r="O167">
        <f>IFERROR(HYPERLINK(INDEX('All products'!$O$2:$O$109,MATCH(162,'All products'!$Q$2:$Q$109,0))),"")</f>
        <v/>
      </c>
    </row>
    <row r="168">
      <c r="A168">
        <f>IFERROR(INDEX('All products'!$A$2:$A$109,MATCH(163,'All products'!$Q$2:$Q$109,0))&amp;"","")</f>
        <v/>
      </c>
      <c r="B168">
        <f>IFERROR(INDEX('All products'!$B$2:$B$109,MATCH(163,'All products'!$Q$2:$Q$109,0))&amp;"","")</f>
        <v/>
      </c>
      <c r="C168">
        <f>IFERROR(INDEX('All products'!$C$2:$C$109,MATCH(163,'All products'!$Q$2:$Q$109,0))&amp;"","")</f>
        <v/>
      </c>
      <c r="D168">
        <f>IFERROR(INDEX('All products'!$D$2:$D$109,MATCH(163,'All products'!$Q$2:$Q$109,0))&amp;"","")</f>
        <v/>
      </c>
      <c r="E168">
        <f>IFERROR(INDEX('All products'!$E$2:$E$109,MATCH(163,'All products'!$Q$2:$Q$109,0))&amp;"","")</f>
        <v/>
      </c>
      <c r="F168">
        <f>IFERROR(INDEX('All products'!$F$2:$F$109,MATCH(163,'All products'!$Q$2:$Q$109,0))&amp;"","")</f>
        <v/>
      </c>
      <c r="G168">
        <f>IFERROR(INDEX('All products'!$G$2:$G$109,MATCH(163,'All products'!$Q$2:$Q$109,0))&amp;"","")</f>
        <v/>
      </c>
      <c r="H168">
        <f>IFERROR(INDEX('All products'!$H$2:$H$109,MATCH(163,'All products'!$Q$2:$Q$109,0))&amp;"","")</f>
        <v/>
      </c>
      <c r="I168">
        <f>IFERROR(INDEX('All products'!$I$2:$I$109,MATCH(163,'All products'!$Q$2:$Q$109,0))&amp;"","")</f>
        <v/>
      </c>
      <c r="J168">
        <f>IFERROR(INDEX('All products'!$J$2:$J$109,MATCH(163,'All products'!$Q$2:$Q$109,0))&amp;"","")</f>
        <v/>
      </c>
      <c r="K168">
        <f>IFERROR(INDEX('All products'!$K$2:$K$109,MATCH(163,'All products'!$Q$2:$Q$109,0))&amp;"","")</f>
        <v/>
      </c>
      <c r="L168">
        <f>IFERROR(INDEX('All products'!$L$2:$L$109,MATCH(163,'All products'!$Q$2:$Q$109,0))&amp;"","")</f>
        <v/>
      </c>
      <c r="M168">
        <f>IFERROR(INDEX('All products'!$M$2:$M$109,MATCH(163,'All products'!$Q$2:$Q$109,0))&amp;"","")</f>
        <v/>
      </c>
      <c r="N168">
        <f>IFERROR(INDEX('All products'!$N$2:$N$109,MATCH(163,'All products'!$Q$2:$Q$109,0))&amp;"","")</f>
        <v/>
      </c>
      <c r="O168">
        <f>IFERROR(HYPERLINK(INDEX('All products'!$O$2:$O$109,MATCH(163,'All products'!$Q$2:$Q$109,0))),"")</f>
        <v/>
      </c>
    </row>
    <row r="169">
      <c r="A169">
        <f>IFERROR(INDEX('All products'!$A$2:$A$109,MATCH(164,'All products'!$Q$2:$Q$109,0))&amp;"","")</f>
        <v/>
      </c>
      <c r="B169">
        <f>IFERROR(INDEX('All products'!$B$2:$B$109,MATCH(164,'All products'!$Q$2:$Q$109,0))&amp;"","")</f>
        <v/>
      </c>
      <c r="C169">
        <f>IFERROR(INDEX('All products'!$C$2:$C$109,MATCH(164,'All products'!$Q$2:$Q$109,0))&amp;"","")</f>
        <v/>
      </c>
      <c r="D169">
        <f>IFERROR(INDEX('All products'!$D$2:$D$109,MATCH(164,'All products'!$Q$2:$Q$109,0))&amp;"","")</f>
        <v/>
      </c>
      <c r="E169">
        <f>IFERROR(INDEX('All products'!$E$2:$E$109,MATCH(164,'All products'!$Q$2:$Q$109,0))&amp;"","")</f>
        <v/>
      </c>
      <c r="F169">
        <f>IFERROR(INDEX('All products'!$F$2:$F$109,MATCH(164,'All products'!$Q$2:$Q$109,0))&amp;"","")</f>
        <v/>
      </c>
      <c r="G169">
        <f>IFERROR(INDEX('All products'!$G$2:$G$109,MATCH(164,'All products'!$Q$2:$Q$109,0))&amp;"","")</f>
        <v/>
      </c>
      <c r="H169">
        <f>IFERROR(INDEX('All products'!$H$2:$H$109,MATCH(164,'All products'!$Q$2:$Q$109,0))&amp;"","")</f>
        <v/>
      </c>
      <c r="I169">
        <f>IFERROR(INDEX('All products'!$I$2:$I$109,MATCH(164,'All products'!$Q$2:$Q$109,0))&amp;"","")</f>
        <v/>
      </c>
      <c r="J169">
        <f>IFERROR(INDEX('All products'!$J$2:$J$109,MATCH(164,'All products'!$Q$2:$Q$109,0))&amp;"","")</f>
        <v/>
      </c>
      <c r="K169">
        <f>IFERROR(INDEX('All products'!$K$2:$K$109,MATCH(164,'All products'!$Q$2:$Q$109,0))&amp;"","")</f>
        <v/>
      </c>
      <c r="L169">
        <f>IFERROR(INDEX('All products'!$L$2:$L$109,MATCH(164,'All products'!$Q$2:$Q$109,0))&amp;"","")</f>
        <v/>
      </c>
      <c r="M169">
        <f>IFERROR(INDEX('All products'!$M$2:$M$109,MATCH(164,'All products'!$Q$2:$Q$109,0))&amp;"","")</f>
        <v/>
      </c>
      <c r="N169">
        <f>IFERROR(INDEX('All products'!$N$2:$N$109,MATCH(164,'All products'!$Q$2:$Q$109,0))&amp;"","")</f>
        <v/>
      </c>
      <c r="O169">
        <f>IFERROR(HYPERLINK(INDEX('All products'!$O$2:$O$109,MATCH(164,'All products'!$Q$2:$Q$109,0))),"")</f>
        <v/>
      </c>
    </row>
    <row r="170">
      <c r="A170">
        <f>IFERROR(INDEX('All products'!$A$2:$A$109,MATCH(165,'All products'!$Q$2:$Q$109,0))&amp;"","")</f>
        <v/>
      </c>
      <c r="B170">
        <f>IFERROR(INDEX('All products'!$B$2:$B$109,MATCH(165,'All products'!$Q$2:$Q$109,0))&amp;"","")</f>
        <v/>
      </c>
      <c r="C170">
        <f>IFERROR(INDEX('All products'!$C$2:$C$109,MATCH(165,'All products'!$Q$2:$Q$109,0))&amp;"","")</f>
        <v/>
      </c>
      <c r="D170">
        <f>IFERROR(INDEX('All products'!$D$2:$D$109,MATCH(165,'All products'!$Q$2:$Q$109,0))&amp;"","")</f>
        <v/>
      </c>
      <c r="E170">
        <f>IFERROR(INDEX('All products'!$E$2:$E$109,MATCH(165,'All products'!$Q$2:$Q$109,0))&amp;"","")</f>
        <v/>
      </c>
      <c r="F170">
        <f>IFERROR(INDEX('All products'!$F$2:$F$109,MATCH(165,'All products'!$Q$2:$Q$109,0))&amp;"","")</f>
        <v/>
      </c>
      <c r="G170">
        <f>IFERROR(INDEX('All products'!$G$2:$G$109,MATCH(165,'All products'!$Q$2:$Q$109,0))&amp;"","")</f>
        <v/>
      </c>
      <c r="H170">
        <f>IFERROR(INDEX('All products'!$H$2:$H$109,MATCH(165,'All products'!$Q$2:$Q$109,0))&amp;"","")</f>
        <v/>
      </c>
      <c r="I170">
        <f>IFERROR(INDEX('All products'!$I$2:$I$109,MATCH(165,'All products'!$Q$2:$Q$109,0))&amp;"","")</f>
        <v/>
      </c>
      <c r="J170">
        <f>IFERROR(INDEX('All products'!$J$2:$J$109,MATCH(165,'All products'!$Q$2:$Q$109,0))&amp;"","")</f>
        <v/>
      </c>
      <c r="K170">
        <f>IFERROR(INDEX('All products'!$K$2:$K$109,MATCH(165,'All products'!$Q$2:$Q$109,0))&amp;"","")</f>
        <v/>
      </c>
      <c r="L170">
        <f>IFERROR(INDEX('All products'!$L$2:$L$109,MATCH(165,'All products'!$Q$2:$Q$109,0))&amp;"","")</f>
        <v/>
      </c>
      <c r="M170">
        <f>IFERROR(INDEX('All products'!$M$2:$M$109,MATCH(165,'All products'!$Q$2:$Q$109,0))&amp;"","")</f>
        <v/>
      </c>
      <c r="N170">
        <f>IFERROR(INDEX('All products'!$N$2:$N$109,MATCH(165,'All products'!$Q$2:$Q$109,0))&amp;"","")</f>
        <v/>
      </c>
      <c r="O170">
        <f>IFERROR(HYPERLINK(INDEX('All products'!$O$2:$O$109,MATCH(165,'All products'!$Q$2:$Q$109,0))),"")</f>
        <v/>
      </c>
    </row>
    <row r="171">
      <c r="A171">
        <f>IFERROR(INDEX('All products'!$A$2:$A$109,MATCH(166,'All products'!$Q$2:$Q$109,0))&amp;"","")</f>
        <v/>
      </c>
      <c r="B171">
        <f>IFERROR(INDEX('All products'!$B$2:$B$109,MATCH(166,'All products'!$Q$2:$Q$109,0))&amp;"","")</f>
        <v/>
      </c>
      <c r="C171">
        <f>IFERROR(INDEX('All products'!$C$2:$C$109,MATCH(166,'All products'!$Q$2:$Q$109,0))&amp;"","")</f>
        <v/>
      </c>
      <c r="D171">
        <f>IFERROR(INDEX('All products'!$D$2:$D$109,MATCH(166,'All products'!$Q$2:$Q$109,0))&amp;"","")</f>
        <v/>
      </c>
      <c r="E171">
        <f>IFERROR(INDEX('All products'!$E$2:$E$109,MATCH(166,'All products'!$Q$2:$Q$109,0))&amp;"","")</f>
        <v/>
      </c>
      <c r="F171">
        <f>IFERROR(INDEX('All products'!$F$2:$F$109,MATCH(166,'All products'!$Q$2:$Q$109,0))&amp;"","")</f>
        <v/>
      </c>
      <c r="G171">
        <f>IFERROR(INDEX('All products'!$G$2:$G$109,MATCH(166,'All products'!$Q$2:$Q$109,0))&amp;"","")</f>
        <v/>
      </c>
      <c r="H171">
        <f>IFERROR(INDEX('All products'!$H$2:$H$109,MATCH(166,'All products'!$Q$2:$Q$109,0))&amp;"","")</f>
        <v/>
      </c>
      <c r="I171">
        <f>IFERROR(INDEX('All products'!$I$2:$I$109,MATCH(166,'All products'!$Q$2:$Q$109,0))&amp;"","")</f>
        <v/>
      </c>
      <c r="J171">
        <f>IFERROR(INDEX('All products'!$J$2:$J$109,MATCH(166,'All products'!$Q$2:$Q$109,0))&amp;"","")</f>
        <v/>
      </c>
      <c r="K171">
        <f>IFERROR(INDEX('All products'!$K$2:$K$109,MATCH(166,'All products'!$Q$2:$Q$109,0))&amp;"","")</f>
        <v/>
      </c>
      <c r="L171">
        <f>IFERROR(INDEX('All products'!$L$2:$L$109,MATCH(166,'All products'!$Q$2:$Q$109,0))&amp;"","")</f>
        <v/>
      </c>
      <c r="M171">
        <f>IFERROR(INDEX('All products'!$M$2:$M$109,MATCH(166,'All products'!$Q$2:$Q$109,0))&amp;"","")</f>
        <v/>
      </c>
      <c r="N171">
        <f>IFERROR(INDEX('All products'!$N$2:$N$109,MATCH(166,'All products'!$Q$2:$Q$109,0))&amp;"","")</f>
        <v/>
      </c>
      <c r="O171">
        <f>IFERROR(HYPERLINK(INDEX('All products'!$O$2:$O$109,MATCH(166,'All products'!$Q$2:$Q$109,0))),"")</f>
        <v/>
      </c>
    </row>
    <row r="172">
      <c r="A172">
        <f>IFERROR(INDEX('All products'!$A$2:$A$109,MATCH(167,'All products'!$Q$2:$Q$109,0))&amp;"","")</f>
        <v/>
      </c>
      <c r="B172">
        <f>IFERROR(INDEX('All products'!$B$2:$B$109,MATCH(167,'All products'!$Q$2:$Q$109,0))&amp;"","")</f>
        <v/>
      </c>
      <c r="C172">
        <f>IFERROR(INDEX('All products'!$C$2:$C$109,MATCH(167,'All products'!$Q$2:$Q$109,0))&amp;"","")</f>
        <v/>
      </c>
      <c r="D172">
        <f>IFERROR(INDEX('All products'!$D$2:$D$109,MATCH(167,'All products'!$Q$2:$Q$109,0))&amp;"","")</f>
        <v/>
      </c>
      <c r="E172">
        <f>IFERROR(INDEX('All products'!$E$2:$E$109,MATCH(167,'All products'!$Q$2:$Q$109,0))&amp;"","")</f>
        <v/>
      </c>
      <c r="F172">
        <f>IFERROR(INDEX('All products'!$F$2:$F$109,MATCH(167,'All products'!$Q$2:$Q$109,0))&amp;"","")</f>
        <v/>
      </c>
      <c r="G172">
        <f>IFERROR(INDEX('All products'!$G$2:$G$109,MATCH(167,'All products'!$Q$2:$Q$109,0))&amp;"","")</f>
        <v/>
      </c>
      <c r="H172">
        <f>IFERROR(INDEX('All products'!$H$2:$H$109,MATCH(167,'All products'!$Q$2:$Q$109,0))&amp;"","")</f>
        <v/>
      </c>
      <c r="I172">
        <f>IFERROR(INDEX('All products'!$I$2:$I$109,MATCH(167,'All products'!$Q$2:$Q$109,0))&amp;"","")</f>
        <v/>
      </c>
      <c r="J172">
        <f>IFERROR(INDEX('All products'!$J$2:$J$109,MATCH(167,'All products'!$Q$2:$Q$109,0))&amp;"","")</f>
        <v/>
      </c>
      <c r="K172">
        <f>IFERROR(INDEX('All products'!$K$2:$K$109,MATCH(167,'All products'!$Q$2:$Q$109,0))&amp;"","")</f>
        <v/>
      </c>
      <c r="L172">
        <f>IFERROR(INDEX('All products'!$L$2:$L$109,MATCH(167,'All products'!$Q$2:$Q$109,0))&amp;"","")</f>
        <v/>
      </c>
      <c r="M172">
        <f>IFERROR(INDEX('All products'!$M$2:$M$109,MATCH(167,'All products'!$Q$2:$Q$109,0))&amp;"","")</f>
        <v/>
      </c>
      <c r="N172">
        <f>IFERROR(INDEX('All products'!$N$2:$N$109,MATCH(167,'All products'!$Q$2:$Q$109,0))&amp;"","")</f>
        <v/>
      </c>
      <c r="O172">
        <f>IFERROR(HYPERLINK(INDEX('All products'!$O$2:$O$109,MATCH(167,'All products'!$Q$2:$Q$109,0))),"")</f>
        <v/>
      </c>
    </row>
    <row r="173">
      <c r="A173">
        <f>IFERROR(INDEX('All products'!$A$2:$A$109,MATCH(168,'All products'!$Q$2:$Q$109,0))&amp;"","")</f>
        <v/>
      </c>
      <c r="B173">
        <f>IFERROR(INDEX('All products'!$B$2:$B$109,MATCH(168,'All products'!$Q$2:$Q$109,0))&amp;"","")</f>
        <v/>
      </c>
      <c r="C173">
        <f>IFERROR(INDEX('All products'!$C$2:$C$109,MATCH(168,'All products'!$Q$2:$Q$109,0))&amp;"","")</f>
        <v/>
      </c>
      <c r="D173">
        <f>IFERROR(INDEX('All products'!$D$2:$D$109,MATCH(168,'All products'!$Q$2:$Q$109,0))&amp;"","")</f>
        <v/>
      </c>
      <c r="E173">
        <f>IFERROR(INDEX('All products'!$E$2:$E$109,MATCH(168,'All products'!$Q$2:$Q$109,0))&amp;"","")</f>
        <v/>
      </c>
      <c r="F173">
        <f>IFERROR(INDEX('All products'!$F$2:$F$109,MATCH(168,'All products'!$Q$2:$Q$109,0))&amp;"","")</f>
        <v/>
      </c>
      <c r="G173">
        <f>IFERROR(INDEX('All products'!$G$2:$G$109,MATCH(168,'All products'!$Q$2:$Q$109,0))&amp;"","")</f>
        <v/>
      </c>
      <c r="H173">
        <f>IFERROR(INDEX('All products'!$H$2:$H$109,MATCH(168,'All products'!$Q$2:$Q$109,0))&amp;"","")</f>
        <v/>
      </c>
      <c r="I173">
        <f>IFERROR(INDEX('All products'!$I$2:$I$109,MATCH(168,'All products'!$Q$2:$Q$109,0))&amp;"","")</f>
        <v/>
      </c>
      <c r="J173">
        <f>IFERROR(INDEX('All products'!$J$2:$J$109,MATCH(168,'All products'!$Q$2:$Q$109,0))&amp;"","")</f>
        <v/>
      </c>
      <c r="K173">
        <f>IFERROR(INDEX('All products'!$K$2:$K$109,MATCH(168,'All products'!$Q$2:$Q$109,0))&amp;"","")</f>
        <v/>
      </c>
      <c r="L173">
        <f>IFERROR(INDEX('All products'!$L$2:$L$109,MATCH(168,'All products'!$Q$2:$Q$109,0))&amp;"","")</f>
        <v/>
      </c>
      <c r="M173">
        <f>IFERROR(INDEX('All products'!$M$2:$M$109,MATCH(168,'All products'!$Q$2:$Q$109,0))&amp;"","")</f>
        <v/>
      </c>
      <c r="N173">
        <f>IFERROR(INDEX('All products'!$N$2:$N$109,MATCH(168,'All products'!$Q$2:$Q$109,0))&amp;"","")</f>
        <v/>
      </c>
      <c r="O173">
        <f>IFERROR(HYPERLINK(INDEX('All products'!$O$2:$O$109,MATCH(168,'All products'!$Q$2:$Q$109,0))),"")</f>
        <v/>
      </c>
    </row>
    <row r="174">
      <c r="A174">
        <f>IFERROR(INDEX('All products'!$A$2:$A$109,MATCH(169,'All products'!$Q$2:$Q$109,0))&amp;"","")</f>
        <v/>
      </c>
      <c r="B174">
        <f>IFERROR(INDEX('All products'!$B$2:$B$109,MATCH(169,'All products'!$Q$2:$Q$109,0))&amp;"","")</f>
        <v/>
      </c>
      <c r="C174">
        <f>IFERROR(INDEX('All products'!$C$2:$C$109,MATCH(169,'All products'!$Q$2:$Q$109,0))&amp;"","")</f>
        <v/>
      </c>
      <c r="D174">
        <f>IFERROR(INDEX('All products'!$D$2:$D$109,MATCH(169,'All products'!$Q$2:$Q$109,0))&amp;"","")</f>
        <v/>
      </c>
      <c r="E174">
        <f>IFERROR(INDEX('All products'!$E$2:$E$109,MATCH(169,'All products'!$Q$2:$Q$109,0))&amp;"","")</f>
        <v/>
      </c>
      <c r="F174">
        <f>IFERROR(INDEX('All products'!$F$2:$F$109,MATCH(169,'All products'!$Q$2:$Q$109,0))&amp;"","")</f>
        <v/>
      </c>
      <c r="G174">
        <f>IFERROR(INDEX('All products'!$G$2:$G$109,MATCH(169,'All products'!$Q$2:$Q$109,0))&amp;"","")</f>
        <v/>
      </c>
      <c r="H174">
        <f>IFERROR(INDEX('All products'!$H$2:$H$109,MATCH(169,'All products'!$Q$2:$Q$109,0))&amp;"","")</f>
        <v/>
      </c>
      <c r="I174">
        <f>IFERROR(INDEX('All products'!$I$2:$I$109,MATCH(169,'All products'!$Q$2:$Q$109,0))&amp;"","")</f>
        <v/>
      </c>
      <c r="J174">
        <f>IFERROR(INDEX('All products'!$J$2:$J$109,MATCH(169,'All products'!$Q$2:$Q$109,0))&amp;"","")</f>
        <v/>
      </c>
      <c r="K174">
        <f>IFERROR(INDEX('All products'!$K$2:$K$109,MATCH(169,'All products'!$Q$2:$Q$109,0))&amp;"","")</f>
        <v/>
      </c>
      <c r="L174">
        <f>IFERROR(INDEX('All products'!$L$2:$L$109,MATCH(169,'All products'!$Q$2:$Q$109,0))&amp;"","")</f>
        <v/>
      </c>
      <c r="M174">
        <f>IFERROR(INDEX('All products'!$M$2:$M$109,MATCH(169,'All products'!$Q$2:$Q$109,0))&amp;"","")</f>
        <v/>
      </c>
      <c r="N174">
        <f>IFERROR(INDEX('All products'!$N$2:$N$109,MATCH(169,'All products'!$Q$2:$Q$109,0))&amp;"","")</f>
        <v/>
      </c>
      <c r="O174">
        <f>IFERROR(HYPERLINK(INDEX('All products'!$O$2:$O$109,MATCH(169,'All products'!$Q$2:$Q$109,0))),"")</f>
        <v/>
      </c>
    </row>
    <row r="175">
      <c r="A175">
        <f>IFERROR(INDEX('All products'!$A$2:$A$109,MATCH(170,'All products'!$Q$2:$Q$109,0))&amp;"","")</f>
        <v/>
      </c>
      <c r="B175">
        <f>IFERROR(INDEX('All products'!$B$2:$B$109,MATCH(170,'All products'!$Q$2:$Q$109,0))&amp;"","")</f>
        <v/>
      </c>
      <c r="C175">
        <f>IFERROR(INDEX('All products'!$C$2:$C$109,MATCH(170,'All products'!$Q$2:$Q$109,0))&amp;"","")</f>
        <v/>
      </c>
      <c r="D175">
        <f>IFERROR(INDEX('All products'!$D$2:$D$109,MATCH(170,'All products'!$Q$2:$Q$109,0))&amp;"","")</f>
        <v/>
      </c>
      <c r="E175">
        <f>IFERROR(INDEX('All products'!$E$2:$E$109,MATCH(170,'All products'!$Q$2:$Q$109,0))&amp;"","")</f>
        <v/>
      </c>
      <c r="F175">
        <f>IFERROR(INDEX('All products'!$F$2:$F$109,MATCH(170,'All products'!$Q$2:$Q$109,0))&amp;"","")</f>
        <v/>
      </c>
      <c r="G175">
        <f>IFERROR(INDEX('All products'!$G$2:$G$109,MATCH(170,'All products'!$Q$2:$Q$109,0))&amp;"","")</f>
        <v/>
      </c>
      <c r="H175">
        <f>IFERROR(INDEX('All products'!$H$2:$H$109,MATCH(170,'All products'!$Q$2:$Q$109,0))&amp;"","")</f>
        <v/>
      </c>
      <c r="I175">
        <f>IFERROR(INDEX('All products'!$I$2:$I$109,MATCH(170,'All products'!$Q$2:$Q$109,0))&amp;"","")</f>
        <v/>
      </c>
      <c r="J175">
        <f>IFERROR(INDEX('All products'!$J$2:$J$109,MATCH(170,'All products'!$Q$2:$Q$109,0))&amp;"","")</f>
        <v/>
      </c>
      <c r="K175">
        <f>IFERROR(INDEX('All products'!$K$2:$K$109,MATCH(170,'All products'!$Q$2:$Q$109,0))&amp;"","")</f>
        <v/>
      </c>
      <c r="L175">
        <f>IFERROR(INDEX('All products'!$L$2:$L$109,MATCH(170,'All products'!$Q$2:$Q$109,0))&amp;"","")</f>
        <v/>
      </c>
      <c r="M175">
        <f>IFERROR(INDEX('All products'!$M$2:$M$109,MATCH(170,'All products'!$Q$2:$Q$109,0))&amp;"","")</f>
        <v/>
      </c>
      <c r="N175">
        <f>IFERROR(INDEX('All products'!$N$2:$N$109,MATCH(170,'All products'!$Q$2:$Q$109,0))&amp;"","")</f>
        <v/>
      </c>
      <c r="O175">
        <f>IFERROR(HYPERLINK(INDEX('All products'!$O$2:$O$109,MATCH(170,'All products'!$Q$2:$Q$109,0))),"")</f>
        <v/>
      </c>
    </row>
    <row r="176">
      <c r="A176">
        <f>IFERROR(INDEX('All products'!$A$2:$A$109,MATCH(171,'All products'!$Q$2:$Q$109,0))&amp;"","")</f>
        <v/>
      </c>
      <c r="B176">
        <f>IFERROR(INDEX('All products'!$B$2:$B$109,MATCH(171,'All products'!$Q$2:$Q$109,0))&amp;"","")</f>
        <v/>
      </c>
      <c r="C176">
        <f>IFERROR(INDEX('All products'!$C$2:$C$109,MATCH(171,'All products'!$Q$2:$Q$109,0))&amp;"","")</f>
        <v/>
      </c>
      <c r="D176">
        <f>IFERROR(INDEX('All products'!$D$2:$D$109,MATCH(171,'All products'!$Q$2:$Q$109,0))&amp;"","")</f>
        <v/>
      </c>
      <c r="E176">
        <f>IFERROR(INDEX('All products'!$E$2:$E$109,MATCH(171,'All products'!$Q$2:$Q$109,0))&amp;"","")</f>
        <v/>
      </c>
      <c r="F176">
        <f>IFERROR(INDEX('All products'!$F$2:$F$109,MATCH(171,'All products'!$Q$2:$Q$109,0))&amp;"","")</f>
        <v/>
      </c>
      <c r="G176">
        <f>IFERROR(INDEX('All products'!$G$2:$G$109,MATCH(171,'All products'!$Q$2:$Q$109,0))&amp;"","")</f>
        <v/>
      </c>
      <c r="H176">
        <f>IFERROR(INDEX('All products'!$H$2:$H$109,MATCH(171,'All products'!$Q$2:$Q$109,0))&amp;"","")</f>
        <v/>
      </c>
      <c r="I176">
        <f>IFERROR(INDEX('All products'!$I$2:$I$109,MATCH(171,'All products'!$Q$2:$Q$109,0))&amp;"","")</f>
        <v/>
      </c>
      <c r="J176">
        <f>IFERROR(INDEX('All products'!$J$2:$J$109,MATCH(171,'All products'!$Q$2:$Q$109,0))&amp;"","")</f>
        <v/>
      </c>
      <c r="K176">
        <f>IFERROR(INDEX('All products'!$K$2:$K$109,MATCH(171,'All products'!$Q$2:$Q$109,0))&amp;"","")</f>
        <v/>
      </c>
      <c r="L176">
        <f>IFERROR(INDEX('All products'!$L$2:$L$109,MATCH(171,'All products'!$Q$2:$Q$109,0))&amp;"","")</f>
        <v/>
      </c>
      <c r="M176">
        <f>IFERROR(INDEX('All products'!$M$2:$M$109,MATCH(171,'All products'!$Q$2:$Q$109,0))&amp;"","")</f>
        <v/>
      </c>
      <c r="N176">
        <f>IFERROR(INDEX('All products'!$N$2:$N$109,MATCH(171,'All products'!$Q$2:$Q$109,0))&amp;"","")</f>
        <v/>
      </c>
      <c r="O176">
        <f>IFERROR(HYPERLINK(INDEX('All products'!$O$2:$O$109,MATCH(171,'All products'!$Q$2:$Q$109,0))),"")</f>
        <v/>
      </c>
    </row>
    <row r="177">
      <c r="A177">
        <f>IFERROR(INDEX('All products'!$A$2:$A$109,MATCH(172,'All products'!$Q$2:$Q$109,0))&amp;"","")</f>
        <v/>
      </c>
      <c r="B177">
        <f>IFERROR(INDEX('All products'!$B$2:$B$109,MATCH(172,'All products'!$Q$2:$Q$109,0))&amp;"","")</f>
        <v/>
      </c>
      <c r="C177">
        <f>IFERROR(INDEX('All products'!$C$2:$C$109,MATCH(172,'All products'!$Q$2:$Q$109,0))&amp;"","")</f>
        <v/>
      </c>
      <c r="D177">
        <f>IFERROR(INDEX('All products'!$D$2:$D$109,MATCH(172,'All products'!$Q$2:$Q$109,0))&amp;"","")</f>
        <v/>
      </c>
      <c r="E177">
        <f>IFERROR(INDEX('All products'!$E$2:$E$109,MATCH(172,'All products'!$Q$2:$Q$109,0))&amp;"","")</f>
        <v/>
      </c>
      <c r="F177">
        <f>IFERROR(INDEX('All products'!$F$2:$F$109,MATCH(172,'All products'!$Q$2:$Q$109,0))&amp;"","")</f>
        <v/>
      </c>
      <c r="G177">
        <f>IFERROR(INDEX('All products'!$G$2:$G$109,MATCH(172,'All products'!$Q$2:$Q$109,0))&amp;"","")</f>
        <v/>
      </c>
      <c r="H177">
        <f>IFERROR(INDEX('All products'!$H$2:$H$109,MATCH(172,'All products'!$Q$2:$Q$109,0))&amp;"","")</f>
        <v/>
      </c>
      <c r="I177">
        <f>IFERROR(INDEX('All products'!$I$2:$I$109,MATCH(172,'All products'!$Q$2:$Q$109,0))&amp;"","")</f>
        <v/>
      </c>
      <c r="J177">
        <f>IFERROR(INDEX('All products'!$J$2:$J$109,MATCH(172,'All products'!$Q$2:$Q$109,0))&amp;"","")</f>
        <v/>
      </c>
      <c r="K177">
        <f>IFERROR(INDEX('All products'!$K$2:$K$109,MATCH(172,'All products'!$Q$2:$Q$109,0))&amp;"","")</f>
        <v/>
      </c>
      <c r="L177">
        <f>IFERROR(INDEX('All products'!$L$2:$L$109,MATCH(172,'All products'!$Q$2:$Q$109,0))&amp;"","")</f>
        <v/>
      </c>
      <c r="M177">
        <f>IFERROR(INDEX('All products'!$M$2:$M$109,MATCH(172,'All products'!$Q$2:$Q$109,0))&amp;"","")</f>
        <v/>
      </c>
      <c r="N177">
        <f>IFERROR(INDEX('All products'!$N$2:$N$109,MATCH(172,'All products'!$Q$2:$Q$109,0))&amp;"","")</f>
        <v/>
      </c>
      <c r="O177">
        <f>IFERROR(HYPERLINK(INDEX('All products'!$O$2:$O$109,MATCH(172,'All products'!$Q$2:$Q$109,0))),"")</f>
        <v/>
      </c>
    </row>
    <row r="178">
      <c r="A178">
        <f>IFERROR(INDEX('All products'!$A$2:$A$109,MATCH(173,'All products'!$Q$2:$Q$109,0))&amp;"","")</f>
        <v/>
      </c>
      <c r="B178">
        <f>IFERROR(INDEX('All products'!$B$2:$B$109,MATCH(173,'All products'!$Q$2:$Q$109,0))&amp;"","")</f>
        <v/>
      </c>
      <c r="C178">
        <f>IFERROR(INDEX('All products'!$C$2:$C$109,MATCH(173,'All products'!$Q$2:$Q$109,0))&amp;"","")</f>
        <v/>
      </c>
      <c r="D178">
        <f>IFERROR(INDEX('All products'!$D$2:$D$109,MATCH(173,'All products'!$Q$2:$Q$109,0))&amp;"","")</f>
        <v/>
      </c>
      <c r="E178">
        <f>IFERROR(INDEX('All products'!$E$2:$E$109,MATCH(173,'All products'!$Q$2:$Q$109,0))&amp;"","")</f>
        <v/>
      </c>
      <c r="F178">
        <f>IFERROR(INDEX('All products'!$F$2:$F$109,MATCH(173,'All products'!$Q$2:$Q$109,0))&amp;"","")</f>
        <v/>
      </c>
      <c r="G178">
        <f>IFERROR(INDEX('All products'!$G$2:$G$109,MATCH(173,'All products'!$Q$2:$Q$109,0))&amp;"","")</f>
        <v/>
      </c>
      <c r="H178">
        <f>IFERROR(INDEX('All products'!$H$2:$H$109,MATCH(173,'All products'!$Q$2:$Q$109,0))&amp;"","")</f>
        <v/>
      </c>
      <c r="I178">
        <f>IFERROR(INDEX('All products'!$I$2:$I$109,MATCH(173,'All products'!$Q$2:$Q$109,0))&amp;"","")</f>
        <v/>
      </c>
      <c r="J178">
        <f>IFERROR(INDEX('All products'!$J$2:$J$109,MATCH(173,'All products'!$Q$2:$Q$109,0))&amp;"","")</f>
        <v/>
      </c>
      <c r="K178">
        <f>IFERROR(INDEX('All products'!$K$2:$K$109,MATCH(173,'All products'!$Q$2:$Q$109,0))&amp;"","")</f>
        <v/>
      </c>
      <c r="L178">
        <f>IFERROR(INDEX('All products'!$L$2:$L$109,MATCH(173,'All products'!$Q$2:$Q$109,0))&amp;"","")</f>
        <v/>
      </c>
      <c r="M178">
        <f>IFERROR(INDEX('All products'!$M$2:$M$109,MATCH(173,'All products'!$Q$2:$Q$109,0))&amp;"","")</f>
        <v/>
      </c>
      <c r="N178">
        <f>IFERROR(INDEX('All products'!$N$2:$N$109,MATCH(173,'All products'!$Q$2:$Q$109,0))&amp;"","")</f>
        <v/>
      </c>
      <c r="O178">
        <f>IFERROR(HYPERLINK(INDEX('All products'!$O$2:$O$109,MATCH(173,'All products'!$Q$2:$Q$109,0))),"")</f>
        <v/>
      </c>
    </row>
    <row r="179">
      <c r="A179">
        <f>IFERROR(INDEX('All products'!$A$2:$A$109,MATCH(174,'All products'!$Q$2:$Q$109,0))&amp;"","")</f>
        <v/>
      </c>
      <c r="B179">
        <f>IFERROR(INDEX('All products'!$B$2:$B$109,MATCH(174,'All products'!$Q$2:$Q$109,0))&amp;"","")</f>
        <v/>
      </c>
      <c r="C179">
        <f>IFERROR(INDEX('All products'!$C$2:$C$109,MATCH(174,'All products'!$Q$2:$Q$109,0))&amp;"","")</f>
        <v/>
      </c>
      <c r="D179">
        <f>IFERROR(INDEX('All products'!$D$2:$D$109,MATCH(174,'All products'!$Q$2:$Q$109,0))&amp;"","")</f>
        <v/>
      </c>
      <c r="E179">
        <f>IFERROR(INDEX('All products'!$E$2:$E$109,MATCH(174,'All products'!$Q$2:$Q$109,0))&amp;"","")</f>
        <v/>
      </c>
      <c r="F179">
        <f>IFERROR(INDEX('All products'!$F$2:$F$109,MATCH(174,'All products'!$Q$2:$Q$109,0))&amp;"","")</f>
        <v/>
      </c>
      <c r="G179">
        <f>IFERROR(INDEX('All products'!$G$2:$G$109,MATCH(174,'All products'!$Q$2:$Q$109,0))&amp;"","")</f>
        <v/>
      </c>
      <c r="H179">
        <f>IFERROR(INDEX('All products'!$H$2:$H$109,MATCH(174,'All products'!$Q$2:$Q$109,0))&amp;"","")</f>
        <v/>
      </c>
      <c r="I179">
        <f>IFERROR(INDEX('All products'!$I$2:$I$109,MATCH(174,'All products'!$Q$2:$Q$109,0))&amp;"","")</f>
        <v/>
      </c>
      <c r="J179">
        <f>IFERROR(INDEX('All products'!$J$2:$J$109,MATCH(174,'All products'!$Q$2:$Q$109,0))&amp;"","")</f>
        <v/>
      </c>
      <c r="K179">
        <f>IFERROR(INDEX('All products'!$K$2:$K$109,MATCH(174,'All products'!$Q$2:$Q$109,0))&amp;"","")</f>
        <v/>
      </c>
      <c r="L179">
        <f>IFERROR(INDEX('All products'!$L$2:$L$109,MATCH(174,'All products'!$Q$2:$Q$109,0))&amp;"","")</f>
        <v/>
      </c>
      <c r="M179">
        <f>IFERROR(INDEX('All products'!$M$2:$M$109,MATCH(174,'All products'!$Q$2:$Q$109,0))&amp;"","")</f>
        <v/>
      </c>
      <c r="N179">
        <f>IFERROR(INDEX('All products'!$N$2:$N$109,MATCH(174,'All products'!$Q$2:$Q$109,0))&amp;"","")</f>
        <v/>
      </c>
      <c r="O179">
        <f>IFERROR(HYPERLINK(INDEX('All products'!$O$2:$O$109,MATCH(174,'All products'!$Q$2:$Q$109,0))),"")</f>
        <v/>
      </c>
    </row>
    <row r="180">
      <c r="A180">
        <f>IFERROR(INDEX('All products'!$A$2:$A$109,MATCH(175,'All products'!$Q$2:$Q$109,0))&amp;"","")</f>
        <v/>
      </c>
      <c r="B180">
        <f>IFERROR(INDEX('All products'!$B$2:$B$109,MATCH(175,'All products'!$Q$2:$Q$109,0))&amp;"","")</f>
        <v/>
      </c>
      <c r="C180">
        <f>IFERROR(INDEX('All products'!$C$2:$C$109,MATCH(175,'All products'!$Q$2:$Q$109,0))&amp;"","")</f>
        <v/>
      </c>
      <c r="D180">
        <f>IFERROR(INDEX('All products'!$D$2:$D$109,MATCH(175,'All products'!$Q$2:$Q$109,0))&amp;"","")</f>
        <v/>
      </c>
      <c r="E180">
        <f>IFERROR(INDEX('All products'!$E$2:$E$109,MATCH(175,'All products'!$Q$2:$Q$109,0))&amp;"","")</f>
        <v/>
      </c>
      <c r="F180">
        <f>IFERROR(INDEX('All products'!$F$2:$F$109,MATCH(175,'All products'!$Q$2:$Q$109,0))&amp;"","")</f>
        <v/>
      </c>
      <c r="G180">
        <f>IFERROR(INDEX('All products'!$G$2:$G$109,MATCH(175,'All products'!$Q$2:$Q$109,0))&amp;"","")</f>
        <v/>
      </c>
      <c r="H180">
        <f>IFERROR(INDEX('All products'!$H$2:$H$109,MATCH(175,'All products'!$Q$2:$Q$109,0))&amp;"","")</f>
        <v/>
      </c>
      <c r="I180">
        <f>IFERROR(INDEX('All products'!$I$2:$I$109,MATCH(175,'All products'!$Q$2:$Q$109,0))&amp;"","")</f>
        <v/>
      </c>
      <c r="J180">
        <f>IFERROR(INDEX('All products'!$J$2:$J$109,MATCH(175,'All products'!$Q$2:$Q$109,0))&amp;"","")</f>
        <v/>
      </c>
      <c r="K180">
        <f>IFERROR(INDEX('All products'!$K$2:$K$109,MATCH(175,'All products'!$Q$2:$Q$109,0))&amp;"","")</f>
        <v/>
      </c>
      <c r="L180">
        <f>IFERROR(INDEX('All products'!$L$2:$L$109,MATCH(175,'All products'!$Q$2:$Q$109,0))&amp;"","")</f>
        <v/>
      </c>
      <c r="M180">
        <f>IFERROR(INDEX('All products'!$M$2:$M$109,MATCH(175,'All products'!$Q$2:$Q$109,0))&amp;"","")</f>
        <v/>
      </c>
      <c r="N180">
        <f>IFERROR(INDEX('All products'!$N$2:$N$109,MATCH(175,'All products'!$Q$2:$Q$109,0))&amp;"","")</f>
        <v/>
      </c>
      <c r="O180">
        <f>IFERROR(HYPERLINK(INDEX('All products'!$O$2:$O$109,MATCH(175,'All products'!$Q$2:$Q$109,0))),"")</f>
        <v/>
      </c>
    </row>
    <row r="181">
      <c r="A181">
        <f>IFERROR(INDEX('All products'!$A$2:$A$109,MATCH(176,'All products'!$Q$2:$Q$109,0))&amp;"","")</f>
        <v/>
      </c>
      <c r="B181">
        <f>IFERROR(INDEX('All products'!$B$2:$B$109,MATCH(176,'All products'!$Q$2:$Q$109,0))&amp;"","")</f>
        <v/>
      </c>
      <c r="C181">
        <f>IFERROR(INDEX('All products'!$C$2:$C$109,MATCH(176,'All products'!$Q$2:$Q$109,0))&amp;"","")</f>
        <v/>
      </c>
      <c r="D181">
        <f>IFERROR(INDEX('All products'!$D$2:$D$109,MATCH(176,'All products'!$Q$2:$Q$109,0))&amp;"","")</f>
        <v/>
      </c>
      <c r="E181">
        <f>IFERROR(INDEX('All products'!$E$2:$E$109,MATCH(176,'All products'!$Q$2:$Q$109,0))&amp;"","")</f>
        <v/>
      </c>
      <c r="F181">
        <f>IFERROR(INDEX('All products'!$F$2:$F$109,MATCH(176,'All products'!$Q$2:$Q$109,0))&amp;"","")</f>
        <v/>
      </c>
      <c r="G181">
        <f>IFERROR(INDEX('All products'!$G$2:$G$109,MATCH(176,'All products'!$Q$2:$Q$109,0))&amp;"","")</f>
        <v/>
      </c>
      <c r="H181">
        <f>IFERROR(INDEX('All products'!$H$2:$H$109,MATCH(176,'All products'!$Q$2:$Q$109,0))&amp;"","")</f>
        <v/>
      </c>
      <c r="I181">
        <f>IFERROR(INDEX('All products'!$I$2:$I$109,MATCH(176,'All products'!$Q$2:$Q$109,0))&amp;"","")</f>
        <v/>
      </c>
      <c r="J181">
        <f>IFERROR(INDEX('All products'!$J$2:$J$109,MATCH(176,'All products'!$Q$2:$Q$109,0))&amp;"","")</f>
        <v/>
      </c>
      <c r="K181">
        <f>IFERROR(INDEX('All products'!$K$2:$K$109,MATCH(176,'All products'!$Q$2:$Q$109,0))&amp;"","")</f>
        <v/>
      </c>
      <c r="L181">
        <f>IFERROR(INDEX('All products'!$L$2:$L$109,MATCH(176,'All products'!$Q$2:$Q$109,0))&amp;"","")</f>
        <v/>
      </c>
      <c r="M181">
        <f>IFERROR(INDEX('All products'!$M$2:$M$109,MATCH(176,'All products'!$Q$2:$Q$109,0))&amp;"","")</f>
        <v/>
      </c>
      <c r="N181">
        <f>IFERROR(INDEX('All products'!$N$2:$N$109,MATCH(176,'All products'!$Q$2:$Q$109,0))&amp;"","")</f>
        <v/>
      </c>
      <c r="O181">
        <f>IFERROR(HYPERLINK(INDEX('All products'!$O$2:$O$109,MATCH(176,'All products'!$Q$2:$Q$109,0))),"")</f>
        <v/>
      </c>
    </row>
    <row r="182">
      <c r="A182">
        <f>IFERROR(INDEX('All products'!$A$2:$A$109,MATCH(177,'All products'!$Q$2:$Q$109,0))&amp;"","")</f>
        <v/>
      </c>
      <c r="B182">
        <f>IFERROR(INDEX('All products'!$B$2:$B$109,MATCH(177,'All products'!$Q$2:$Q$109,0))&amp;"","")</f>
        <v/>
      </c>
      <c r="C182">
        <f>IFERROR(INDEX('All products'!$C$2:$C$109,MATCH(177,'All products'!$Q$2:$Q$109,0))&amp;"","")</f>
        <v/>
      </c>
      <c r="D182">
        <f>IFERROR(INDEX('All products'!$D$2:$D$109,MATCH(177,'All products'!$Q$2:$Q$109,0))&amp;"","")</f>
        <v/>
      </c>
      <c r="E182">
        <f>IFERROR(INDEX('All products'!$E$2:$E$109,MATCH(177,'All products'!$Q$2:$Q$109,0))&amp;"","")</f>
        <v/>
      </c>
      <c r="F182">
        <f>IFERROR(INDEX('All products'!$F$2:$F$109,MATCH(177,'All products'!$Q$2:$Q$109,0))&amp;"","")</f>
        <v/>
      </c>
      <c r="G182">
        <f>IFERROR(INDEX('All products'!$G$2:$G$109,MATCH(177,'All products'!$Q$2:$Q$109,0))&amp;"","")</f>
        <v/>
      </c>
      <c r="H182">
        <f>IFERROR(INDEX('All products'!$H$2:$H$109,MATCH(177,'All products'!$Q$2:$Q$109,0))&amp;"","")</f>
        <v/>
      </c>
      <c r="I182">
        <f>IFERROR(INDEX('All products'!$I$2:$I$109,MATCH(177,'All products'!$Q$2:$Q$109,0))&amp;"","")</f>
        <v/>
      </c>
      <c r="J182">
        <f>IFERROR(INDEX('All products'!$J$2:$J$109,MATCH(177,'All products'!$Q$2:$Q$109,0))&amp;"","")</f>
        <v/>
      </c>
      <c r="K182">
        <f>IFERROR(INDEX('All products'!$K$2:$K$109,MATCH(177,'All products'!$Q$2:$Q$109,0))&amp;"","")</f>
        <v/>
      </c>
      <c r="L182">
        <f>IFERROR(INDEX('All products'!$L$2:$L$109,MATCH(177,'All products'!$Q$2:$Q$109,0))&amp;"","")</f>
        <v/>
      </c>
      <c r="M182">
        <f>IFERROR(INDEX('All products'!$M$2:$M$109,MATCH(177,'All products'!$Q$2:$Q$109,0))&amp;"","")</f>
        <v/>
      </c>
      <c r="N182">
        <f>IFERROR(INDEX('All products'!$N$2:$N$109,MATCH(177,'All products'!$Q$2:$Q$109,0))&amp;"","")</f>
        <v/>
      </c>
      <c r="O182">
        <f>IFERROR(HYPERLINK(INDEX('All products'!$O$2:$O$109,MATCH(177,'All products'!$Q$2:$Q$109,0))),"")</f>
        <v/>
      </c>
    </row>
    <row r="183">
      <c r="A183">
        <f>IFERROR(INDEX('All products'!$A$2:$A$109,MATCH(178,'All products'!$Q$2:$Q$109,0))&amp;"","")</f>
        <v/>
      </c>
      <c r="B183">
        <f>IFERROR(INDEX('All products'!$B$2:$B$109,MATCH(178,'All products'!$Q$2:$Q$109,0))&amp;"","")</f>
        <v/>
      </c>
      <c r="C183">
        <f>IFERROR(INDEX('All products'!$C$2:$C$109,MATCH(178,'All products'!$Q$2:$Q$109,0))&amp;"","")</f>
        <v/>
      </c>
      <c r="D183">
        <f>IFERROR(INDEX('All products'!$D$2:$D$109,MATCH(178,'All products'!$Q$2:$Q$109,0))&amp;"","")</f>
        <v/>
      </c>
      <c r="E183">
        <f>IFERROR(INDEX('All products'!$E$2:$E$109,MATCH(178,'All products'!$Q$2:$Q$109,0))&amp;"","")</f>
        <v/>
      </c>
      <c r="F183">
        <f>IFERROR(INDEX('All products'!$F$2:$F$109,MATCH(178,'All products'!$Q$2:$Q$109,0))&amp;"","")</f>
        <v/>
      </c>
      <c r="G183">
        <f>IFERROR(INDEX('All products'!$G$2:$G$109,MATCH(178,'All products'!$Q$2:$Q$109,0))&amp;"","")</f>
        <v/>
      </c>
      <c r="H183">
        <f>IFERROR(INDEX('All products'!$H$2:$H$109,MATCH(178,'All products'!$Q$2:$Q$109,0))&amp;"","")</f>
        <v/>
      </c>
      <c r="I183">
        <f>IFERROR(INDEX('All products'!$I$2:$I$109,MATCH(178,'All products'!$Q$2:$Q$109,0))&amp;"","")</f>
        <v/>
      </c>
      <c r="J183">
        <f>IFERROR(INDEX('All products'!$J$2:$J$109,MATCH(178,'All products'!$Q$2:$Q$109,0))&amp;"","")</f>
        <v/>
      </c>
      <c r="K183">
        <f>IFERROR(INDEX('All products'!$K$2:$K$109,MATCH(178,'All products'!$Q$2:$Q$109,0))&amp;"","")</f>
        <v/>
      </c>
      <c r="L183">
        <f>IFERROR(INDEX('All products'!$L$2:$L$109,MATCH(178,'All products'!$Q$2:$Q$109,0))&amp;"","")</f>
        <v/>
      </c>
      <c r="M183">
        <f>IFERROR(INDEX('All products'!$M$2:$M$109,MATCH(178,'All products'!$Q$2:$Q$109,0))&amp;"","")</f>
        <v/>
      </c>
      <c r="N183">
        <f>IFERROR(INDEX('All products'!$N$2:$N$109,MATCH(178,'All products'!$Q$2:$Q$109,0))&amp;"","")</f>
        <v/>
      </c>
      <c r="O183">
        <f>IFERROR(HYPERLINK(INDEX('All products'!$O$2:$O$109,MATCH(178,'All products'!$Q$2:$Q$109,0))),"")</f>
        <v/>
      </c>
    </row>
    <row r="184">
      <c r="A184">
        <f>IFERROR(INDEX('All products'!$A$2:$A$109,MATCH(179,'All products'!$Q$2:$Q$109,0))&amp;"","")</f>
        <v/>
      </c>
      <c r="B184">
        <f>IFERROR(INDEX('All products'!$B$2:$B$109,MATCH(179,'All products'!$Q$2:$Q$109,0))&amp;"","")</f>
        <v/>
      </c>
      <c r="C184">
        <f>IFERROR(INDEX('All products'!$C$2:$C$109,MATCH(179,'All products'!$Q$2:$Q$109,0))&amp;"","")</f>
        <v/>
      </c>
      <c r="D184">
        <f>IFERROR(INDEX('All products'!$D$2:$D$109,MATCH(179,'All products'!$Q$2:$Q$109,0))&amp;"","")</f>
        <v/>
      </c>
      <c r="E184">
        <f>IFERROR(INDEX('All products'!$E$2:$E$109,MATCH(179,'All products'!$Q$2:$Q$109,0))&amp;"","")</f>
        <v/>
      </c>
      <c r="F184">
        <f>IFERROR(INDEX('All products'!$F$2:$F$109,MATCH(179,'All products'!$Q$2:$Q$109,0))&amp;"","")</f>
        <v/>
      </c>
      <c r="G184">
        <f>IFERROR(INDEX('All products'!$G$2:$G$109,MATCH(179,'All products'!$Q$2:$Q$109,0))&amp;"","")</f>
        <v/>
      </c>
      <c r="H184">
        <f>IFERROR(INDEX('All products'!$H$2:$H$109,MATCH(179,'All products'!$Q$2:$Q$109,0))&amp;"","")</f>
        <v/>
      </c>
      <c r="I184">
        <f>IFERROR(INDEX('All products'!$I$2:$I$109,MATCH(179,'All products'!$Q$2:$Q$109,0))&amp;"","")</f>
        <v/>
      </c>
      <c r="J184">
        <f>IFERROR(INDEX('All products'!$J$2:$J$109,MATCH(179,'All products'!$Q$2:$Q$109,0))&amp;"","")</f>
        <v/>
      </c>
      <c r="K184">
        <f>IFERROR(INDEX('All products'!$K$2:$K$109,MATCH(179,'All products'!$Q$2:$Q$109,0))&amp;"","")</f>
        <v/>
      </c>
      <c r="L184">
        <f>IFERROR(INDEX('All products'!$L$2:$L$109,MATCH(179,'All products'!$Q$2:$Q$109,0))&amp;"","")</f>
        <v/>
      </c>
      <c r="M184">
        <f>IFERROR(INDEX('All products'!$M$2:$M$109,MATCH(179,'All products'!$Q$2:$Q$109,0))&amp;"","")</f>
        <v/>
      </c>
      <c r="N184">
        <f>IFERROR(INDEX('All products'!$N$2:$N$109,MATCH(179,'All products'!$Q$2:$Q$109,0))&amp;"","")</f>
        <v/>
      </c>
      <c r="O184">
        <f>IFERROR(HYPERLINK(INDEX('All products'!$O$2:$O$109,MATCH(179,'All products'!$Q$2:$Q$109,0))),"")</f>
        <v/>
      </c>
    </row>
    <row r="185">
      <c r="A185">
        <f>IFERROR(INDEX('All products'!$A$2:$A$109,MATCH(180,'All products'!$Q$2:$Q$109,0))&amp;"","")</f>
        <v/>
      </c>
      <c r="B185">
        <f>IFERROR(INDEX('All products'!$B$2:$B$109,MATCH(180,'All products'!$Q$2:$Q$109,0))&amp;"","")</f>
        <v/>
      </c>
      <c r="C185">
        <f>IFERROR(INDEX('All products'!$C$2:$C$109,MATCH(180,'All products'!$Q$2:$Q$109,0))&amp;"","")</f>
        <v/>
      </c>
      <c r="D185">
        <f>IFERROR(INDEX('All products'!$D$2:$D$109,MATCH(180,'All products'!$Q$2:$Q$109,0))&amp;"","")</f>
        <v/>
      </c>
      <c r="E185">
        <f>IFERROR(INDEX('All products'!$E$2:$E$109,MATCH(180,'All products'!$Q$2:$Q$109,0))&amp;"","")</f>
        <v/>
      </c>
      <c r="F185">
        <f>IFERROR(INDEX('All products'!$F$2:$F$109,MATCH(180,'All products'!$Q$2:$Q$109,0))&amp;"","")</f>
        <v/>
      </c>
      <c r="G185">
        <f>IFERROR(INDEX('All products'!$G$2:$G$109,MATCH(180,'All products'!$Q$2:$Q$109,0))&amp;"","")</f>
        <v/>
      </c>
      <c r="H185">
        <f>IFERROR(INDEX('All products'!$H$2:$H$109,MATCH(180,'All products'!$Q$2:$Q$109,0))&amp;"","")</f>
        <v/>
      </c>
      <c r="I185">
        <f>IFERROR(INDEX('All products'!$I$2:$I$109,MATCH(180,'All products'!$Q$2:$Q$109,0))&amp;"","")</f>
        <v/>
      </c>
      <c r="J185">
        <f>IFERROR(INDEX('All products'!$J$2:$J$109,MATCH(180,'All products'!$Q$2:$Q$109,0))&amp;"","")</f>
        <v/>
      </c>
      <c r="K185">
        <f>IFERROR(INDEX('All products'!$K$2:$K$109,MATCH(180,'All products'!$Q$2:$Q$109,0))&amp;"","")</f>
        <v/>
      </c>
      <c r="L185">
        <f>IFERROR(INDEX('All products'!$L$2:$L$109,MATCH(180,'All products'!$Q$2:$Q$109,0))&amp;"","")</f>
        <v/>
      </c>
      <c r="M185">
        <f>IFERROR(INDEX('All products'!$M$2:$M$109,MATCH(180,'All products'!$Q$2:$Q$109,0))&amp;"","")</f>
        <v/>
      </c>
      <c r="N185">
        <f>IFERROR(INDEX('All products'!$N$2:$N$109,MATCH(180,'All products'!$Q$2:$Q$109,0))&amp;"","")</f>
        <v/>
      </c>
      <c r="O185">
        <f>IFERROR(HYPERLINK(INDEX('All products'!$O$2:$O$109,MATCH(180,'All products'!$Q$2:$Q$109,0))),"")</f>
        <v/>
      </c>
    </row>
    <row r="186">
      <c r="A186">
        <f>IFERROR(INDEX('All products'!$A$2:$A$109,MATCH(181,'All products'!$Q$2:$Q$109,0))&amp;"","")</f>
        <v/>
      </c>
      <c r="B186">
        <f>IFERROR(INDEX('All products'!$B$2:$B$109,MATCH(181,'All products'!$Q$2:$Q$109,0))&amp;"","")</f>
        <v/>
      </c>
      <c r="C186">
        <f>IFERROR(INDEX('All products'!$C$2:$C$109,MATCH(181,'All products'!$Q$2:$Q$109,0))&amp;"","")</f>
        <v/>
      </c>
      <c r="D186">
        <f>IFERROR(INDEX('All products'!$D$2:$D$109,MATCH(181,'All products'!$Q$2:$Q$109,0))&amp;"","")</f>
        <v/>
      </c>
      <c r="E186">
        <f>IFERROR(INDEX('All products'!$E$2:$E$109,MATCH(181,'All products'!$Q$2:$Q$109,0))&amp;"","")</f>
        <v/>
      </c>
      <c r="F186">
        <f>IFERROR(INDEX('All products'!$F$2:$F$109,MATCH(181,'All products'!$Q$2:$Q$109,0))&amp;"","")</f>
        <v/>
      </c>
      <c r="G186">
        <f>IFERROR(INDEX('All products'!$G$2:$G$109,MATCH(181,'All products'!$Q$2:$Q$109,0))&amp;"","")</f>
        <v/>
      </c>
      <c r="H186">
        <f>IFERROR(INDEX('All products'!$H$2:$H$109,MATCH(181,'All products'!$Q$2:$Q$109,0))&amp;"","")</f>
        <v/>
      </c>
      <c r="I186">
        <f>IFERROR(INDEX('All products'!$I$2:$I$109,MATCH(181,'All products'!$Q$2:$Q$109,0))&amp;"","")</f>
        <v/>
      </c>
      <c r="J186">
        <f>IFERROR(INDEX('All products'!$J$2:$J$109,MATCH(181,'All products'!$Q$2:$Q$109,0))&amp;"","")</f>
        <v/>
      </c>
      <c r="K186">
        <f>IFERROR(INDEX('All products'!$K$2:$K$109,MATCH(181,'All products'!$Q$2:$Q$109,0))&amp;"","")</f>
        <v/>
      </c>
      <c r="L186">
        <f>IFERROR(INDEX('All products'!$L$2:$L$109,MATCH(181,'All products'!$Q$2:$Q$109,0))&amp;"","")</f>
        <v/>
      </c>
      <c r="M186">
        <f>IFERROR(INDEX('All products'!$M$2:$M$109,MATCH(181,'All products'!$Q$2:$Q$109,0))&amp;"","")</f>
        <v/>
      </c>
      <c r="N186">
        <f>IFERROR(INDEX('All products'!$N$2:$N$109,MATCH(181,'All products'!$Q$2:$Q$109,0))&amp;"","")</f>
        <v/>
      </c>
      <c r="O186">
        <f>IFERROR(HYPERLINK(INDEX('All products'!$O$2:$O$109,MATCH(181,'All products'!$Q$2:$Q$109,0))),"")</f>
        <v/>
      </c>
    </row>
    <row r="187">
      <c r="A187">
        <f>IFERROR(INDEX('All products'!$A$2:$A$109,MATCH(182,'All products'!$Q$2:$Q$109,0))&amp;"","")</f>
        <v/>
      </c>
      <c r="B187">
        <f>IFERROR(INDEX('All products'!$B$2:$B$109,MATCH(182,'All products'!$Q$2:$Q$109,0))&amp;"","")</f>
        <v/>
      </c>
      <c r="C187">
        <f>IFERROR(INDEX('All products'!$C$2:$C$109,MATCH(182,'All products'!$Q$2:$Q$109,0))&amp;"","")</f>
        <v/>
      </c>
      <c r="D187">
        <f>IFERROR(INDEX('All products'!$D$2:$D$109,MATCH(182,'All products'!$Q$2:$Q$109,0))&amp;"","")</f>
        <v/>
      </c>
      <c r="E187">
        <f>IFERROR(INDEX('All products'!$E$2:$E$109,MATCH(182,'All products'!$Q$2:$Q$109,0))&amp;"","")</f>
        <v/>
      </c>
      <c r="F187">
        <f>IFERROR(INDEX('All products'!$F$2:$F$109,MATCH(182,'All products'!$Q$2:$Q$109,0))&amp;"","")</f>
        <v/>
      </c>
      <c r="G187">
        <f>IFERROR(INDEX('All products'!$G$2:$G$109,MATCH(182,'All products'!$Q$2:$Q$109,0))&amp;"","")</f>
        <v/>
      </c>
      <c r="H187">
        <f>IFERROR(INDEX('All products'!$H$2:$H$109,MATCH(182,'All products'!$Q$2:$Q$109,0))&amp;"","")</f>
        <v/>
      </c>
      <c r="I187">
        <f>IFERROR(INDEX('All products'!$I$2:$I$109,MATCH(182,'All products'!$Q$2:$Q$109,0))&amp;"","")</f>
        <v/>
      </c>
      <c r="J187">
        <f>IFERROR(INDEX('All products'!$J$2:$J$109,MATCH(182,'All products'!$Q$2:$Q$109,0))&amp;"","")</f>
        <v/>
      </c>
      <c r="K187">
        <f>IFERROR(INDEX('All products'!$K$2:$K$109,MATCH(182,'All products'!$Q$2:$Q$109,0))&amp;"","")</f>
        <v/>
      </c>
      <c r="L187">
        <f>IFERROR(INDEX('All products'!$L$2:$L$109,MATCH(182,'All products'!$Q$2:$Q$109,0))&amp;"","")</f>
        <v/>
      </c>
      <c r="M187">
        <f>IFERROR(INDEX('All products'!$M$2:$M$109,MATCH(182,'All products'!$Q$2:$Q$109,0))&amp;"","")</f>
        <v/>
      </c>
      <c r="N187">
        <f>IFERROR(INDEX('All products'!$N$2:$N$109,MATCH(182,'All products'!$Q$2:$Q$109,0))&amp;"","")</f>
        <v/>
      </c>
      <c r="O187">
        <f>IFERROR(HYPERLINK(INDEX('All products'!$O$2:$O$109,MATCH(182,'All products'!$Q$2:$Q$109,0))),"")</f>
        <v/>
      </c>
    </row>
    <row r="188">
      <c r="A188">
        <f>IFERROR(INDEX('All products'!$A$2:$A$109,MATCH(183,'All products'!$Q$2:$Q$109,0))&amp;"","")</f>
        <v/>
      </c>
      <c r="B188">
        <f>IFERROR(INDEX('All products'!$B$2:$B$109,MATCH(183,'All products'!$Q$2:$Q$109,0))&amp;"","")</f>
        <v/>
      </c>
      <c r="C188">
        <f>IFERROR(INDEX('All products'!$C$2:$C$109,MATCH(183,'All products'!$Q$2:$Q$109,0))&amp;"","")</f>
        <v/>
      </c>
      <c r="D188">
        <f>IFERROR(INDEX('All products'!$D$2:$D$109,MATCH(183,'All products'!$Q$2:$Q$109,0))&amp;"","")</f>
        <v/>
      </c>
      <c r="E188">
        <f>IFERROR(INDEX('All products'!$E$2:$E$109,MATCH(183,'All products'!$Q$2:$Q$109,0))&amp;"","")</f>
        <v/>
      </c>
      <c r="F188">
        <f>IFERROR(INDEX('All products'!$F$2:$F$109,MATCH(183,'All products'!$Q$2:$Q$109,0))&amp;"","")</f>
        <v/>
      </c>
      <c r="G188">
        <f>IFERROR(INDEX('All products'!$G$2:$G$109,MATCH(183,'All products'!$Q$2:$Q$109,0))&amp;"","")</f>
        <v/>
      </c>
      <c r="H188">
        <f>IFERROR(INDEX('All products'!$H$2:$H$109,MATCH(183,'All products'!$Q$2:$Q$109,0))&amp;"","")</f>
        <v/>
      </c>
      <c r="I188">
        <f>IFERROR(INDEX('All products'!$I$2:$I$109,MATCH(183,'All products'!$Q$2:$Q$109,0))&amp;"","")</f>
        <v/>
      </c>
      <c r="J188">
        <f>IFERROR(INDEX('All products'!$J$2:$J$109,MATCH(183,'All products'!$Q$2:$Q$109,0))&amp;"","")</f>
        <v/>
      </c>
      <c r="K188">
        <f>IFERROR(INDEX('All products'!$K$2:$K$109,MATCH(183,'All products'!$Q$2:$Q$109,0))&amp;"","")</f>
        <v/>
      </c>
      <c r="L188">
        <f>IFERROR(INDEX('All products'!$L$2:$L$109,MATCH(183,'All products'!$Q$2:$Q$109,0))&amp;"","")</f>
        <v/>
      </c>
      <c r="M188">
        <f>IFERROR(INDEX('All products'!$M$2:$M$109,MATCH(183,'All products'!$Q$2:$Q$109,0))&amp;"","")</f>
        <v/>
      </c>
      <c r="N188">
        <f>IFERROR(INDEX('All products'!$N$2:$N$109,MATCH(183,'All products'!$Q$2:$Q$109,0))&amp;"","")</f>
        <v/>
      </c>
      <c r="O188">
        <f>IFERROR(HYPERLINK(INDEX('All products'!$O$2:$O$109,MATCH(183,'All products'!$Q$2:$Q$109,0))),"")</f>
        <v/>
      </c>
    </row>
    <row r="189">
      <c r="A189">
        <f>IFERROR(INDEX('All products'!$A$2:$A$109,MATCH(184,'All products'!$Q$2:$Q$109,0))&amp;"","")</f>
        <v/>
      </c>
      <c r="B189">
        <f>IFERROR(INDEX('All products'!$B$2:$B$109,MATCH(184,'All products'!$Q$2:$Q$109,0))&amp;"","")</f>
        <v/>
      </c>
      <c r="C189">
        <f>IFERROR(INDEX('All products'!$C$2:$C$109,MATCH(184,'All products'!$Q$2:$Q$109,0))&amp;"","")</f>
        <v/>
      </c>
      <c r="D189">
        <f>IFERROR(INDEX('All products'!$D$2:$D$109,MATCH(184,'All products'!$Q$2:$Q$109,0))&amp;"","")</f>
        <v/>
      </c>
      <c r="E189">
        <f>IFERROR(INDEX('All products'!$E$2:$E$109,MATCH(184,'All products'!$Q$2:$Q$109,0))&amp;"","")</f>
        <v/>
      </c>
      <c r="F189">
        <f>IFERROR(INDEX('All products'!$F$2:$F$109,MATCH(184,'All products'!$Q$2:$Q$109,0))&amp;"","")</f>
        <v/>
      </c>
      <c r="G189">
        <f>IFERROR(INDEX('All products'!$G$2:$G$109,MATCH(184,'All products'!$Q$2:$Q$109,0))&amp;"","")</f>
        <v/>
      </c>
      <c r="H189">
        <f>IFERROR(INDEX('All products'!$H$2:$H$109,MATCH(184,'All products'!$Q$2:$Q$109,0))&amp;"","")</f>
        <v/>
      </c>
      <c r="I189">
        <f>IFERROR(INDEX('All products'!$I$2:$I$109,MATCH(184,'All products'!$Q$2:$Q$109,0))&amp;"","")</f>
        <v/>
      </c>
      <c r="J189">
        <f>IFERROR(INDEX('All products'!$J$2:$J$109,MATCH(184,'All products'!$Q$2:$Q$109,0))&amp;"","")</f>
        <v/>
      </c>
      <c r="K189">
        <f>IFERROR(INDEX('All products'!$K$2:$K$109,MATCH(184,'All products'!$Q$2:$Q$109,0))&amp;"","")</f>
        <v/>
      </c>
      <c r="L189">
        <f>IFERROR(INDEX('All products'!$L$2:$L$109,MATCH(184,'All products'!$Q$2:$Q$109,0))&amp;"","")</f>
        <v/>
      </c>
      <c r="M189">
        <f>IFERROR(INDEX('All products'!$M$2:$M$109,MATCH(184,'All products'!$Q$2:$Q$109,0))&amp;"","")</f>
        <v/>
      </c>
      <c r="N189">
        <f>IFERROR(INDEX('All products'!$N$2:$N$109,MATCH(184,'All products'!$Q$2:$Q$109,0))&amp;"","")</f>
        <v/>
      </c>
      <c r="O189">
        <f>IFERROR(HYPERLINK(INDEX('All products'!$O$2:$O$109,MATCH(184,'All products'!$Q$2:$Q$109,0))),"")</f>
        <v/>
      </c>
    </row>
    <row r="190">
      <c r="A190">
        <f>IFERROR(INDEX('All products'!$A$2:$A$109,MATCH(185,'All products'!$Q$2:$Q$109,0))&amp;"","")</f>
        <v/>
      </c>
      <c r="B190">
        <f>IFERROR(INDEX('All products'!$B$2:$B$109,MATCH(185,'All products'!$Q$2:$Q$109,0))&amp;"","")</f>
        <v/>
      </c>
      <c r="C190">
        <f>IFERROR(INDEX('All products'!$C$2:$C$109,MATCH(185,'All products'!$Q$2:$Q$109,0))&amp;"","")</f>
        <v/>
      </c>
      <c r="D190">
        <f>IFERROR(INDEX('All products'!$D$2:$D$109,MATCH(185,'All products'!$Q$2:$Q$109,0))&amp;"","")</f>
        <v/>
      </c>
      <c r="E190">
        <f>IFERROR(INDEX('All products'!$E$2:$E$109,MATCH(185,'All products'!$Q$2:$Q$109,0))&amp;"","")</f>
        <v/>
      </c>
      <c r="F190">
        <f>IFERROR(INDEX('All products'!$F$2:$F$109,MATCH(185,'All products'!$Q$2:$Q$109,0))&amp;"","")</f>
        <v/>
      </c>
      <c r="G190">
        <f>IFERROR(INDEX('All products'!$G$2:$G$109,MATCH(185,'All products'!$Q$2:$Q$109,0))&amp;"","")</f>
        <v/>
      </c>
      <c r="H190">
        <f>IFERROR(INDEX('All products'!$H$2:$H$109,MATCH(185,'All products'!$Q$2:$Q$109,0))&amp;"","")</f>
        <v/>
      </c>
      <c r="I190">
        <f>IFERROR(INDEX('All products'!$I$2:$I$109,MATCH(185,'All products'!$Q$2:$Q$109,0))&amp;"","")</f>
        <v/>
      </c>
      <c r="J190">
        <f>IFERROR(INDEX('All products'!$J$2:$J$109,MATCH(185,'All products'!$Q$2:$Q$109,0))&amp;"","")</f>
        <v/>
      </c>
      <c r="K190">
        <f>IFERROR(INDEX('All products'!$K$2:$K$109,MATCH(185,'All products'!$Q$2:$Q$109,0))&amp;"","")</f>
        <v/>
      </c>
      <c r="L190">
        <f>IFERROR(INDEX('All products'!$L$2:$L$109,MATCH(185,'All products'!$Q$2:$Q$109,0))&amp;"","")</f>
        <v/>
      </c>
      <c r="M190">
        <f>IFERROR(INDEX('All products'!$M$2:$M$109,MATCH(185,'All products'!$Q$2:$Q$109,0))&amp;"","")</f>
        <v/>
      </c>
      <c r="N190">
        <f>IFERROR(INDEX('All products'!$N$2:$N$109,MATCH(185,'All products'!$Q$2:$Q$109,0))&amp;"","")</f>
        <v/>
      </c>
      <c r="O190">
        <f>IFERROR(HYPERLINK(INDEX('All products'!$O$2:$O$109,MATCH(185,'All products'!$Q$2:$Q$109,0))),"")</f>
        <v/>
      </c>
    </row>
    <row r="191">
      <c r="A191">
        <f>IFERROR(INDEX('All products'!$A$2:$A$109,MATCH(186,'All products'!$Q$2:$Q$109,0))&amp;"","")</f>
        <v/>
      </c>
      <c r="B191">
        <f>IFERROR(INDEX('All products'!$B$2:$B$109,MATCH(186,'All products'!$Q$2:$Q$109,0))&amp;"","")</f>
        <v/>
      </c>
      <c r="C191">
        <f>IFERROR(INDEX('All products'!$C$2:$C$109,MATCH(186,'All products'!$Q$2:$Q$109,0))&amp;"","")</f>
        <v/>
      </c>
      <c r="D191">
        <f>IFERROR(INDEX('All products'!$D$2:$D$109,MATCH(186,'All products'!$Q$2:$Q$109,0))&amp;"","")</f>
        <v/>
      </c>
      <c r="E191">
        <f>IFERROR(INDEX('All products'!$E$2:$E$109,MATCH(186,'All products'!$Q$2:$Q$109,0))&amp;"","")</f>
        <v/>
      </c>
      <c r="F191">
        <f>IFERROR(INDEX('All products'!$F$2:$F$109,MATCH(186,'All products'!$Q$2:$Q$109,0))&amp;"","")</f>
        <v/>
      </c>
      <c r="G191">
        <f>IFERROR(INDEX('All products'!$G$2:$G$109,MATCH(186,'All products'!$Q$2:$Q$109,0))&amp;"","")</f>
        <v/>
      </c>
      <c r="H191">
        <f>IFERROR(INDEX('All products'!$H$2:$H$109,MATCH(186,'All products'!$Q$2:$Q$109,0))&amp;"","")</f>
        <v/>
      </c>
      <c r="I191">
        <f>IFERROR(INDEX('All products'!$I$2:$I$109,MATCH(186,'All products'!$Q$2:$Q$109,0))&amp;"","")</f>
        <v/>
      </c>
      <c r="J191">
        <f>IFERROR(INDEX('All products'!$J$2:$J$109,MATCH(186,'All products'!$Q$2:$Q$109,0))&amp;"","")</f>
        <v/>
      </c>
      <c r="K191">
        <f>IFERROR(INDEX('All products'!$K$2:$K$109,MATCH(186,'All products'!$Q$2:$Q$109,0))&amp;"","")</f>
        <v/>
      </c>
      <c r="L191">
        <f>IFERROR(INDEX('All products'!$L$2:$L$109,MATCH(186,'All products'!$Q$2:$Q$109,0))&amp;"","")</f>
        <v/>
      </c>
      <c r="M191">
        <f>IFERROR(INDEX('All products'!$M$2:$M$109,MATCH(186,'All products'!$Q$2:$Q$109,0))&amp;"","")</f>
        <v/>
      </c>
      <c r="N191">
        <f>IFERROR(INDEX('All products'!$N$2:$N$109,MATCH(186,'All products'!$Q$2:$Q$109,0))&amp;"","")</f>
        <v/>
      </c>
      <c r="O191">
        <f>IFERROR(HYPERLINK(INDEX('All products'!$O$2:$O$109,MATCH(186,'All products'!$Q$2:$Q$109,0))),"")</f>
        <v/>
      </c>
    </row>
    <row r="192">
      <c r="A192">
        <f>IFERROR(INDEX('All products'!$A$2:$A$109,MATCH(187,'All products'!$Q$2:$Q$109,0))&amp;"","")</f>
        <v/>
      </c>
      <c r="B192">
        <f>IFERROR(INDEX('All products'!$B$2:$B$109,MATCH(187,'All products'!$Q$2:$Q$109,0))&amp;"","")</f>
        <v/>
      </c>
      <c r="C192">
        <f>IFERROR(INDEX('All products'!$C$2:$C$109,MATCH(187,'All products'!$Q$2:$Q$109,0))&amp;"","")</f>
        <v/>
      </c>
      <c r="D192">
        <f>IFERROR(INDEX('All products'!$D$2:$D$109,MATCH(187,'All products'!$Q$2:$Q$109,0))&amp;"","")</f>
        <v/>
      </c>
      <c r="E192">
        <f>IFERROR(INDEX('All products'!$E$2:$E$109,MATCH(187,'All products'!$Q$2:$Q$109,0))&amp;"","")</f>
        <v/>
      </c>
      <c r="F192">
        <f>IFERROR(INDEX('All products'!$F$2:$F$109,MATCH(187,'All products'!$Q$2:$Q$109,0))&amp;"","")</f>
        <v/>
      </c>
      <c r="G192">
        <f>IFERROR(INDEX('All products'!$G$2:$G$109,MATCH(187,'All products'!$Q$2:$Q$109,0))&amp;"","")</f>
        <v/>
      </c>
      <c r="H192">
        <f>IFERROR(INDEX('All products'!$H$2:$H$109,MATCH(187,'All products'!$Q$2:$Q$109,0))&amp;"","")</f>
        <v/>
      </c>
      <c r="I192">
        <f>IFERROR(INDEX('All products'!$I$2:$I$109,MATCH(187,'All products'!$Q$2:$Q$109,0))&amp;"","")</f>
        <v/>
      </c>
      <c r="J192">
        <f>IFERROR(INDEX('All products'!$J$2:$J$109,MATCH(187,'All products'!$Q$2:$Q$109,0))&amp;"","")</f>
        <v/>
      </c>
      <c r="K192">
        <f>IFERROR(INDEX('All products'!$K$2:$K$109,MATCH(187,'All products'!$Q$2:$Q$109,0))&amp;"","")</f>
        <v/>
      </c>
      <c r="L192">
        <f>IFERROR(INDEX('All products'!$L$2:$L$109,MATCH(187,'All products'!$Q$2:$Q$109,0))&amp;"","")</f>
        <v/>
      </c>
      <c r="M192">
        <f>IFERROR(INDEX('All products'!$M$2:$M$109,MATCH(187,'All products'!$Q$2:$Q$109,0))&amp;"","")</f>
        <v/>
      </c>
      <c r="N192">
        <f>IFERROR(INDEX('All products'!$N$2:$N$109,MATCH(187,'All products'!$Q$2:$Q$109,0))&amp;"","")</f>
        <v/>
      </c>
      <c r="O192">
        <f>IFERROR(HYPERLINK(INDEX('All products'!$O$2:$O$109,MATCH(187,'All products'!$Q$2:$Q$109,0))),"")</f>
        <v/>
      </c>
    </row>
    <row r="193">
      <c r="A193">
        <f>IFERROR(INDEX('All products'!$A$2:$A$109,MATCH(188,'All products'!$Q$2:$Q$109,0))&amp;"","")</f>
        <v/>
      </c>
      <c r="B193">
        <f>IFERROR(INDEX('All products'!$B$2:$B$109,MATCH(188,'All products'!$Q$2:$Q$109,0))&amp;"","")</f>
        <v/>
      </c>
      <c r="C193">
        <f>IFERROR(INDEX('All products'!$C$2:$C$109,MATCH(188,'All products'!$Q$2:$Q$109,0))&amp;"","")</f>
        <v/>
      </c>
      <c r="D193">
        <f>IFERROR(INDEX('All products'!$D$2:$D$109,MATCH(188,'All products'!$Q$2:$Q$109,0))&amp;"","")</f>
        <v/>
      </c>
      <c r="E193">
        <f>IFERROR(INDEX('All products'!$E$2:$E$109,MATCH(188,'All products'!$Q$2:$Q$109,0))&amp;"","")</f>
        <v/>
      </c>
      <c r="F193">
        <f>IFERROR(INDEX('All products'!$F$2:$F$109,MATCH(188,'All products'!$Q$2:$Q$109,0))&amp;"","")</f>
        <v/>
      </c>
      <c r="G193">
        <f>IFERROR(INDEX('All products'!$G$2:$G$109,MATCH(188,'All products'!$Q$2:$Q$109,0))&amp;"","")</f>
        <v/>
      </c>
      <c r="H193">
        <f>IFERROR(INDEX('All products'!$H$2:$H$109,MATCH(188,'All products'!$Q$2:$Q$109,0))&amp;"","")</f>
        <v/>
      </c>
      <c r="I193">
        <f>IFERROR(INDEX('All products'!$I$2:$I$109,MATCH(188,'All products'!$Q$2:$Q$109,0))&amp;"","")</f>
        <v/>
      </c>
      <c r="J193">
        <f>IFERROR(INDEX('All products'!$J$2:$J$109,MATCH(188,'All products'!$Q$2:$Q$109,0))&amp;"","")</f>
        <v/>
      </c>
      <c r="K193">
        <f>IFERROR(INDEX('All products'!$K$2:$K$109,MATCH(188,'All products'!$Q$2:$Q$109,0))&amp;"","")</f>
        <v/>
      </c>
      <c r="L193">
        <f>IFERROR(INDEX('All products'!$L$2:$L$109,MATCH(188,'All products'!$Q$2:$Q$109,0))&amp;"","")</f>
        <v/>
      </c>
      <c r="M193">
        <f>IFERROR(INDEX('All products'!$M$2:$M$109,MATCH(188,'All products'!$Q$2:$Q$109,0))&amp;"","")</f>
        <v/>
      </c>
      <c r="N193">
        <f>IFERROR(INDEX('All products'!$N$2:$N$109,MATCH(188,'All products'!$Q$2:$Q$109,0))&amp;"","")</f>
        <v/>
      </c>
      <c r="O193">
        <f>IFERROR(HYPERLINK(INDEX('All products'!$O$2:$O$109,MATCH(188,'All products'!$Q$2:$Q$109,0))),"")</f>
        <v/>
      </c>
    </row>
    <row r="194">
      <c r="A194">
        <f>IFERROR(INDEX('All products'!$A$2:$A$109,MATCH(189,'All products'!$Q$2:$Q$109,0))&amp;"","")</f>
        <v/>
      </c>
      <c r="B194">
        <f>IFERROR(INDEX('All products'!$B$2:$B$109,MATCH(189,'All products'!$Q$2:$Q$109,0))&amp;"","")</f>
        <v/>
      </c>
      <c r="C194">
        <f>IFERROR(INDEX('All products'!$C$2:$C$109,MATCH(189,'All products'!$Q$2:$Q$109,0))&amp;"","")</f>
        <v/>
      </c>
      <c r="D194">
        <f>IFERROR(INDEX('All products'!$D$2:$D$109,MATCH(189,'All products'!$Q$2:$Q$109,0))&amp;"","")</f>
        <v/>
      </c>
      <c r="E194">
        <f>IFERROR(INDEX('All products'!$E$2:$E$109,MATCH(189,'All products'!$Q$2:$Q$109,0))&amp;"","")</f>
        <v/>
      </c>
      <c r="F194">
        <f>IFERROR(INDEX('All products'!$F$2:$F$109,MATCH(189,'All products'!$Q$2:$Q$109,0))&amp;"","")</f>
        <v/>
      </c>
      <c r="G194">
        <f>IFERROR(INDEX('All products'!$G$2:$G$109,MATCH(189,'All products'!$Q$2:$Q$109,0))&amp;"","")</f>
        <v/>
      </c>
      <c r="H194">
        <f>IFERROR(INDEX('All products'!$H$2:$H$109,MATCH(189,'All products'!$Q$2:$Q$109,0))&amp;"","")</f>
        <v/>
      </c>
      <c r="I194">
        <f>IFERROR(INDEX('All products'!$I$2:$I$109,MATCH(189,'All products'!$Q$2:$Q$109,0))&amp;"","")</f>
        <v/>
      </c>
      <c r="J194">
        <f>IFERROR(INDEX('All products'!$J$2:$J$109,MATCH(189,'All products'!$Q$2:$Q$109,0))&amp;"","")</f>
        <v/>
      </c>
      <c r="K194">
        <f>IFERROR(INDEX('All products'!$K$2:$K$109,MATCH(189,'All products'!$Q$2:$Q$109,0))&amp;"","")</f>
        <v/>
      </c>
      <c r="L194">
        <f>IFERROR(INDEX('All products'!$L$2:$L$109,MATCH(189,'All products'!$Q$2:$Q$109,0))&amp;"","")</f>
        <v/>
      </c>
      <c r="M194">
        <f>IFERROR(INDEX('All products'!$M$2:$M$109,MATCH(189,'All products'!$Q$2:$Q$109,0))&amp;"","")</f>
        <v/>
      </c>
      <c r="N194">
        <f>IFERROR(INDEX('All products'!$N$2:$N$109,MATCH(189,'All products'!$Q$2:$Q$109,0))&amp;"","")</f>
        <v/>
      </c>
      <c r="O194">
        <f>IFERROR(HYPERLINK(INDEX('All products'!$O$2:$O$109,MATCH(189,'All products'!$Q$2:$Q$109,0))),"")</f>
        <v/>
      </c>
    </row>
    <row r="195">
      <c r="A195">
        <f>IFERROR(INDEX('All products'!$A$2:$A$109,MATCH(190,'All products'!$Q$2:$Q$109,0))&amp;"","")</f>
        <v/>
      </c>
      <c r="B195">
        <f>IFERROR(INDEX('All products'!$B$2:$B$109,MATCH(190,'All products'!$Q$2:$Q$109,0))&amp;"","")</f>
        <v/>
      </c>
      <c r="C195">
        <f>IFERROR(INDEX('All products'!$C$2:$C$109,MATCH(190,'All products'!$Q$2:$Q$109,0))&amp;"","")</f>
        <v/>
      </c>
      <c r="D195">
        <f>IFERROR(INDEX('All products'!$D$2:$D$109,MATCH(190,'All products'!$Q$2:$Q$109,0))&amp;"","")</f>
        <v/>
      </c>
      <c r="E195">
        <f>IFERROR(INDEX('All products'!$E$2:$E$109,MATCH(190,'All products'!$Q$2:$Q$109,0))&amp;"","")</f>
        <v/>
      </c>
      <c r="F195">
        <f>IFERROR(INDEX('All products'!$F$2:$F$109,MATCH(190,'All products'!$Q$2:$Q$109,0))&amp;"","")</f>
        <v/>
      </c>
      <c r="G195">
        <f>IFERROR(INDEX('All products'!$G$2:$G$109,MATCH(190,'All products'!$Q$2:$Q$109,0))&amp;"","")</f>
        <v/>
      </c>
      <c r="H195">
        <f>IFERROR(INDEX('All products'!$H$2:$H$109,MATCH(190,'All products'!$Q$2:$Q$109,0))&amp;"","")</f>
        <v/>
      </c>
      <c r="I195">
        <f>IFERROR(INDEX('All products'!$I$2:$I$109,MATCH(190,'All products'!$Q$2:$Q$109,0))&amp;"","")</f>
        <v/>
      </c>
      <c r="J195">
        <f>IFERROR(INDEX('All products'!$J$2:$J$109,MATCH(190,'All products'!$Q$2:$Q$109,0))&amp;"","")</f>
        <v/>
      </c>
      <c r="K195">
        <f>IFERROR(INDEX('All products'!$K$2:$K$109,MATCH(190,'All products'!$Q$2:$Q$109,0))&amp;"","")</f>
        <v/>
      </c>
      <c r="L195">
        <f>IFERROR(INDEX('All products'!$L$2:$L$109,MATCH(190,'All products'!$Q$2:$Q$109,0))&amp;"","")</f>
        <v/>
      </c>
      <c r="M195">
        <f>IFERROR(INDEX('All products'!$M$2:$M$109,MATCH(190,'All products'!$Q$2:$Q$109,0))&amp;"","")</f>
        <v/>
      </c>
      <c r="N195">
        <f>IFERROR(INDEX('All products'!$N$2:$N$109,MATCH(190,'All products'!$Q$2:$Q$109,0))&amp;"","")</f>
        <v/>
      </c>
      <c r="O195">
        <f>IFERROR(HYPERLINK(INDEX('All products'!$O$2:$O$109,MATCH(190,'All products'!$Q$2:$Q$109,0))),"")</f>
        <v/>
      </c>
    </row>
    <row r="196">
      <c r="A196">
        <f>IFERROR(INDEX('All products'!$A$2:$A$109,MATCH(191,'All products'!$Q$2:$Q$109,0))&amp;"","")</f>
        <v/>
      </c>
      <c r="B196">
        <f>IFERROR(INDEX('All products'!$B$2:$B$109,MATCH(191,'All products'!$Q$2:$Q$109,0))&amp;"","")</f>
        <v/>
      </c>
      <c r="C196">
        <f>IFERROR(INDEX('All products'!$C$2:$C$109,MATCH(191,'All products'!$Q$2:$Q$109,0))&amp;"","")</f>
        <v/>
      </c>
      <c r="D196">
        <f>IFERROR(INDEX('All products'!$D$2:$D$109,MATCH(191,'All products'!$Q$2:$Q$109,0))&amp;"","")</f>
        <v/>
      </c>
      <c r="E196">
        <f>IFERROR(INDEX('All products'!$E$2:$E$109,MATCH(191,'All products'!$Q$2:$Q$109,0))&amp;"","")</f>
        <v/>
      </c>
      <c r="F196">
        <f>IFERROR(INDEX('All products'!$F$2:$F$109,MATCH(191,'All products'!$Q$2:$Q$109,0))&amp;"","")</f>
        <v/>
      </c>
      <c r="G196">
        <f>IFERROR(INDEX('All products'!$G$2:$G$109,MATCH(191,'All products'!$Q$2:$Q$109,0))&amp;"","")</f>
        <v/>
      </c>
      <c r="H196">
        <f>IFERROR(INDEX('All products'!$H$2:$H$109,MATCH(191,'All products'!$Q$2:$Q$109,0))&amp;"","")</f>
        <v/>
      </c>
      <c r="I196">
        <f>IFERROR(INDEX('All products'!$I$2:$I$109,MATCH(191,'All products'!$Q$2:$Q$109,0))&amp;"","")</f>
        <v/>
      </c>
      <c r="J196">
        <f>IFERROR(INDEX('All products'!$J$2:$J$109,MATCH(191,'All products'!$Q$2:$Q$109,0))&amp;"","")</f>
        <v/>
      </c>
      <c r="K196">
        <f>IFERROR(INDEX('All products'!$K$2:$K$109,MATCH(191,'All products'!$Q$2:$Q$109,0))&amp;"","")</f>
        <v/>
      </c>
      <c r="L196">
        <f>IFERROR(INDEX('All products'!$L$2:$L$109,MATCH(191,'All products'!$Q$2:$Q$109,0))&amp;"","")</f>
        <v/>
      </c>
      <c r="M196">
        <f>IFERROR(INDEX('All products'!$M$2:$M$109,MATCH(191,'All products'!$Q$2:$Q$109,0))&amp;"","")</f>
        <v/>
      </c>
      <c r="N196">
        <f>IFERROR(INDEX('All products'!$N$2:$N$109,MATCH(191,'All products'!$Q$2:$Q$109,0))&amp;"","")</f>
        <v/>
      </c>
      <c r="O196">
        <f>IFERROR(HYPERLINK(INDEX('All products'!$O$2:$O$109,MATCH(191,'All products'!$Q$2:$Q$109,0))),"")</f>
        <v/>
      </c>
    </row>
    <row r="197">
      <c r="A197">
        <f>IFERROR(INDEX('All products'!$A$2:$A$109,MATCH(192,'All products'!$Q$2:$Q$109,0))&amp;"","")</f>
        <v/>
      </c>
      <c r="B197">
        <f>IFERROR(INDEX('All products'!$B$2:$B$109,MATCH(192,'All products'!$Q$2:$Q$109,0))&amp;"","")</f>
        <v/>
      </c>
      <c r="C197">
        <f>IFERROR(INDEX('All products'!$C$2:$C$109,MATCH(192,'All products'!$Q$2:$Q$109,0))&amp;"","")</f>
        <v/>
      </c>
      <c r="D197">
        <f>IFERROR(INDEX('All products'!$D$2:$D$109,MATCH(192,'All products'!$Q$2:$Q$109,0))&amp;"","")</f>
        <v/>
      </c>
      <c r="E197">
        <f>IFERROR(INDEX('All products'!$E$2:$E$109,MATCH(192,'All products'!$Q$2:$Q$109,0))&amp;"","")</f>
        <v/>
      </c>
      <c r="F197">
        <f>IFERROR(INDEX('All products'!$F$2:$F$109,MATCH(192,'All products'!$Q$2:$Q$109,0))&amp;"","")</f>
        <v/>
      </c>
      <c r="G197">
        <f>IFERROR(INDEX('All products'!$G$2:$G$109,MATCH(192,'All products'!$Q$2:$Q$109,0))&amp;"","")</f>
        <v/>
      </c>
      <c r="H197">
        <f>IFERROR(INDEX('All products'!$H$2:$H$109,MATCH(192,'All products'!$Q$2:$Q$109,0))&amp;"","")</f>
        <v/>
      </c>
      <c r="I197">
        <f>IFERROR(INDEX('All products'!$I$2:$I$109,MATCH(192,'All products'!$Q$2:$Q$109,0))&amp;"","")</f>
        <v/>
      </c>
      <c r="J197">
        <f>IFERROR(INDEX('All products'!$J$2:$J$109,MATCH(192,'All products'!$Q$2:$Q$109,0))&amp;"","")</f>
        <v/>
      </c>
      <c r="K197">
        <f>IFERROR(INDEX('All products'!$K$2:$K$109,MATCH(192,'All products'!$Q$2:$Q$109,0))&amp;"","")</f>
        <v/>
      </c>
      <c r="L197">
        <f>IFERROR(INDEX('All products'!$L$2:$L$109,MATCH(192,'All products'!$Q$2:$Q$109,0))&amp;"","")</f>
        <v/>
      </c>
      <c r="M197">
        <f>IFERROR(INDEX('All products'!$M$2:$M$109,MATCH(192,'All products'!$Q$2:$Q$109,0))&amp;"","")</f>
        <v/>
      </c>
      <c r="N197">
        <f>IFERROR(INDEX('All products'!$N$2:$N$109,MATCH(192,'All products'!$Q$2:$Q$109,0))&amp;"","")</f>
        <v/>
      </c>
      <c r="O197">
        <f>IFERROR(HYPERLINK(INDEX('All products'!$O$2:$O$109,MATCH(192,'All products'!$Q$2:$Q$109,0))),"")</f>
        <v/>
      </c>
    </row>
    <row r="198">
      <c r="A198">
        <f>IFERROR(INDEX('All products'!$A$2:$A$109,MATCH(193,'All products'!$Q$2:$Q$109,0))&amp;"","")</f>
        <v/>
      </c>
      <c r="B198">
        <f>IFERROR(INDEX('All products'!$B$2:$B$109,MATCH(193,'All products'!$Q$2:$Q$109,0))&amp;"","")</f>
        <v/>
      </c>
      <c r="C198">
        <f>IFERROR(INDEX('All products'!$C$2:$C$109,MATCH(193,'All products'!$Q$2:$Q$109,0))&amp;"","")</f>
        <v/>
      </c>
      <c r="D198">
        <f>IFERROR(INDEX('All products'!$D$2:$D$109,MATCH(193,'All products'!$Q$2:$Q$109,0))&amp;"","")</f>
        <v/>
      </c>
      <c r="E198">
        <f>IFERROR(INDEX('All products'!$E$2:$E$109,MATCH(193,'All products'!$Q$2:$Q$109,0))&amp;"","")</f>
        <v/>
      </c>
      <c r="F198">
        <f>IFERROR(INDEX('All products'!$F$2:$F$109,MATCH(193,'All products'!$Q$2:$Q$109,0))&amp;"","")</f>
        <v/>
      </c>
      <c r="G198">
        <f>IFERROR(INDEX('All products'!$G$2:$G$109,MATCH(193,'All products'!$Q$2:$Q$109,0))&amp;"","")</f>
        <v/>
      </c>
      <c r="H198">
        <f>IFERROR(INDEX('All products'!$H$2:$H$109,MATCH(193,'All products'!$Q$2:$Q$109,0))&amp;"","")</f>
        <v/>
      </c>
      <c r="I198">
        <f>IFERROR(INDEX('All products'!$I$2:$I$109,MATCH(193,'All products'!$Q$2:$Q$109,0))&amp;"","")</f>
        <v/>
      </c>
      <c r="J198">
        <f>IFERROR(INDEX('All products'!$J$2:$J$109,MATCH(193,'All products'!$Q$2:$Q$109,0))&amp;"","")</f>
        <v/>
      </c>
      <c r="K198">
        <f>IFERROR(INDEX('All products'!$K$2:$K$109,MATCH(193,'All products'!$Q$2:$Q$109,0))&amp;"","")</f>
        <v/>
      </c>
      <c r="L198">
        <f>IFERROR(INDEX('All products'!$L$2:$L$109,MATCH(193,'All products'!$Q$2:$Q$109,0))&amp;"","")</f>
        <v/>
      </c>
      <c r="M198">
        <f>IFERROR(INDEX('All products'!$M$2:$M$109,MATCH(193,'All products'!$Q$2:$Q$109,0))&amp;"","")</f>
        <v/>
      </c>
      <c r="N198">
        <f>IFERROR(INDEX('All products'!$N$2:$N$109,MATCH(193,'All products'!$Q$2:$Q$109,0))&amp;"","")</f>
        <v/>
      </c>
      <c r="O198">
        <f>IFERROR(HYPERLINK(INDEX('All products'!$O$2:$O$109,MATCH(193,'All products'!$Q$2:$Q$109,0))),"")</f>
        <v/>
      </c>
    </row>
    <row r="199">
      <c r="A199">
        <f>IFERROR(INDEX('All products'!$A$2:$A$109,MATCH(194,'All products'!$Q$2:$Q$109,0))&amp;"","")</f>
        <v/>
      </c>
      <c r="B199">
        <f>IFERROR(INDEX('All products'!$B$2:$B$109,MATCH(194,'All products'!$Q$2:$Q$109,0))&amp;"","")</f>
        <v/>
      </c>
      <c r="C199">
        <f>IFERROR(INDEX('All products'!$C$2:$C$109,MATCH(194,'All products'!$Q$2:$Q$109,0))&amp;"","")</f>
        <v/>
      </c>
      <c r="D199">
        <f>IFERROR(INDEX('All products'!$D$2:$D$109,MATCH(194,'All products'!$Q$2:$Q$109,0))&amp;"","")</f>
        <v/>
      </c>
      <c r="E199">
        <f>IFERROR(INDEX('All products'!$E$2:$E$109,MATCH(194,'All products'!$Q$2:$Q$109,0))&amp;"","")</f>
        <v/>
      </c>
      <c r="F199">
        <f>IFERROR(INDEX('All products'!$F$2:$F$109,MATCH(194,'All products'!$Q$2:$Q$109,0))&amp;"","")</f>
        <v/>
      </c>
      <c r="G199">
        <f>IFERROR(INDEX('All products'!$G$2:$G$109,MATCH(194,'All products'!$Q$2:$Q$109,0))&amp;"","")</f>
        <v/>
      </c>
      <c r="H199">
        <f>IFERROR(INDEX('All products'!$H$2:$H$109,MATCH(194,'All products'!$Q$2:$Q$109,0))&amp;"","")</f>
        <v/>
      </c>
      <c r="I199">
        <f>IFERROR(INDEX('All products'!$I$2:$I$109,MATCH(194,'All products'!$Q$2:$Q$109,0))&amp;"","")</f>
        <v/>
      </c>
      <c r="J199">
        <f>IFERROR(INDEX('All products'!$J$2:$J$109,MATCH(194,'All products'!$Q$2:$Q$109,0))&amp;"","")</f>
        <v/>
      </c>
      <c r="K199">
        <f>IFERROR(INDEX('All products'!$K$2:$K$109,MATCH(194,'All products'!$Q$2:$Q$109,0))&amp;"","")</f>
        <v/>
      </c>
      <c r="L199">
        <f>IFERROR(INDEX('All products'!$L$2:$L$109,MATCH(194,'All products'!$Q$2:$Q$109,0))&amp;"","")</f>
        <v/>
      </c>
      <c r="M199">
        <f>IFERROR(INDEX('All products'!$M$2:$M$109,MATCH(194,'All products'!$Q$2:$Q$109,0))&amp;"","")</f>
        <v/>
      </c>
      <c r="N199">
        <f>IFERROR(INDEX('All products'!$N$2:$N$109,MATCH(194,'All products'!$Q$2:$Q$109,0))&amp;"","")</f>
        <v/>
      </c>
      <c r="O199">
        <f>IFERROR(HYPERLINK(INDEX('All products'!$O$2:$O$109,MATCH(194,'All products'!$Q$2:$Q$109,0))),"")</f>
        <v/>
      </c>
    </row>
    <row r="200">
      <c r="A200">
        <f>IFERROR(INDEX('All products'!$A$2:$A$109,MATCH(195,'All products'!$Q$2:$Q$109,0))&amp;"","")</f>
        <v/>
      </c>
      <c r="B200">
        <f>IFERROR(INDEX('All products'!$B$2:$B$109,MATCH(195,'All products'!$Q$2:$Q$109,0))&amp;"","")</f>
        <v/>
      </c>
      <c r="C200">
        <f>IFERROR(INDEX('All products'!$C$2:$C$109,MATCH(195,'All products'!$Q$2:$Q$109,0))&amp;"","")</f>
        <v/>
      </c>
      <c r="D200">
        <f>IFERROR(INDEX('All products'!$D$2:$D$109,MATCH(195,'All products'!$Q$2:$Q$109,0))&amp;"","")</f>
        <v/>
      </c>
      <c r="E200">
        <f>IFERROR(INDEX('All products'!$E$2:$E$109,MATCH(195,'All products'!$Q$2:$Q$109,0))&amp;"","")</f>
        <v/>
      </c>
      <c r="F200">
        <f>IFERROR(INDEX('All products'!$F$2:$F$109,MATCH(195,'All products'!$Q$2:$Q$109,0))&amp;"","")</f>
        <v/>
      </c>
      <c r="G200">
        <f>IFERROR(INDEX('All products'!$G$2:$G$109,MATCH(195,'All products'!$Q$2:$Q$109,0))&amp;"","")</f>
        <v/>
      </c>
      <c r="H200">
        <f>IFERROR(INDEX('All products'!$H$2:$H$109,MATCH(195,'All products'!$Q$2:$Q$109,0))&amp;"","")</f>
        <v/>
      </c>
      <c r="I200">
        <f>IFERROR(INDEX('All products'!$I$2:$I$109,MATCH(195,'All products'!$Q$2:$Q$109,0))&amp;"","")</f>
        <v/>
      </c>
      <c r="J200">
        <f>IFERROR(INDEX('All products'!$J$2:$J$109,MATCH(195,'All products'!$Q$2:$Q$109,0))&amp;"","")</f>
        <v/>
      </c>
      <c r="K200">
        <f>IFERROR(INDEX('All products'!$K$2:$K$109,MATCH(195,'All products'!$Q$2:$Q$109,0))&amp;"","")</f>
        <v/>
      </c>
      <c r="L200">
        <f>IFERROR(INDEX('All products'!$L$2:$L$109,MATCH(195,'All products'!$Q$2:$Q$109,0))&amp;"","")</f>
        <v/>
      </c>
      <c r="M200">
        <f>IFERROR(INDEX('All products'!$M$2:$M$109,MATCH(195,'All products'!$Q$2:$Q$109,0))&amp;"","")</f>
        <v/>
      </c>
      <c r="N200">
        <f>IFERROR(INDEX('All products'!$N$2:$N$109,MATCH(195,'All products'!$Q$2:$Q$109,0))&amp;"","")</f>
        <v/>
      </c>
      <c r="O200">
        <f>IFERROR(HYPERLINK(INDEX('All products'!$O$2:$O$109,MATCH(195,'All products'!$Q$2:$Q$109,0))),"")</f>
        <v/>
      </c>
    </row>
    <row r="201">
      <c r="A201">
        <f>IFERROR(INDEX('All products'!$A$2:$A$109,MATCH(196,'All products'!$Q$2:$Q$109,0))&amp;"","")</f>
        <v/>
      </c>
      <c r="B201">
        <f>IFERROR(INDEX('All products'!$B$2:$B$109,MATCH(196,'All products'!$Q$2:$Q$109,0))&amp;"","")</f>
        <v/>
      </c>
      <c r="C201">
        <f>IFERROR(INDEX('All products'!$C$2:$C$109,MATCH(196,'All products'!$Q$2:$Q$109,0))&amp;"","")</f>
        <v/>
      </c>
      <c r="D201">
        <f>IFERROR(INDEX('All products'!$D$2:$D$109,MATCH(196,'All products'!$Q$2:$Q$109,0))&amp;"","")</f>
        <v/>
      </c>
      <c r="E201">
        <f>IFERROR(INDEX('All products'!$E$2:$E$109,MATCH(196,'All products'!$Q$2:$Q$109,0))&amp;"","")</f>
        <v/>
      </c>
      <c r="F201">
        <f>IFERROR(INDEX('All products'!$F$2:$F$109,MATCH(196,'All products'!$Q$2:$Q$109,0))&amp;"","")</f>
        <v/>
      </c>
      <c r="G201">
        <f>IFERROR(INDEX('All products'!$G$2:$G$109,MATCH(196,'All products'!$Q$2:$Q$109,0))&amp;"","")</f>
        <v/>
      </c>
      <c r="H201">
        <f>IFERROR(INDEX('All products'!$H$2:$H$109,MATCH(196,'All products'!$Q$2:$Q$109,0))&amp;"","")</f>
        <v/>
      </c>
      <c r="I201">
        <f>IFERROR(INDEX('All products'!$I$2:$I$109,MATCH(196,'All products'!$Q$2:$Q$109,0))&amp;"","")</f>
        <v/>
      </c>
      <c r="J201">
        <f>IFERROR(INDEX('All products'!$J$2:$J$109,MATCH(196,'All products'!$Q$2:$Q$109,0))&amp;"","")</f>
        <v/>
      </c>
      <c r="K201">
        <f>IFERROR(INDEX('All products'!$K$2:$K$109,MATCH(196,'All products'!$Q$2:$Q$109,0))&amp;"","")</f>
        <v/>
      </c>
      <c r="L201">
        <f>IFERROR(INDEX('All products'!$L$2:$L$109,MATCH(196,'All products'!$Q$2:$Q$109,0))&amp;"","")</f>
        <v/>
      </c>
      <c r="M201">
        <f>IFERROR(INDEX('All products'!$M$2:$M$109,MATCH(196,'All products'!$Q$2:$Q$109,0))&amp;"","")</f>
        <v/>
      </c>
      <c r="N201">
        <f>IFERROR(INDEX('All products'!$N$2:$N$109,MATCH(196,'All products'!$Q$2:$Q$109,0))&amp;"","")</f>
        <v/>
      </c>
      <c r="O201">
        <f>IFERROR(HYPERLINK(INDEX('All products'!$O$2:$O$109,MATCH(196,'All products'!$Q$2:$Q$109,0))),"")</f>
        <v/>
      </c>
    </row>
    <row r="202">
      <c r="A202">
        <f>IFERROR(INDEX('All products'!$A$2:$A$109,MATCH(197,'All products'!$Q$2:$Q$109,0))&amp;"","")</f>
        <v/>
      </c>
      <c r="B202">
        <f>IFERROR(INDEX('All products'!$B$2:$B$109,MATCH(197,'All products'!$Q$2:$Q$109,0))&amp;"","")</f>
        <v/>
      </c>
      <c r="C202">
        <f>IFERROR(INDEX('All products'!$C$2:$C$109,MATCH(197,'All products'!$Q$2:$Q$109,0))&amp;"","")</f>
        <v/>
      </c>
      <c r="D202">
        <f>IFERROR(INDEX('All products'!$D$2:$D$109,MATCH(197,'All products'!$Q$2:$Q$109,0))&amp;"","")</f>
        <v/>
      </c>
      <c r="E202">
        <f>IFERROR(INDEX('All products'!$E$2:$E$109,MATCH(197,'All products'!$Q$2:$Q$109,0))&amp;"","")</f>
        <v/>
      </c>
      <c r="F202">
        <f>IFERROR(INDEX('All products'!$F$2:$F$109,MATCH(197,'All products'!$Q$2:$Q$109,0))&amp;"","")</f>
        <v/>
      </c>
      <c r="G202">
        <f>IFERROR(INDEX('All products'!$G$2:$G$109,MATCH(197,'All products'!$Q$2:$Q$109,0))&amp;"","")</f>
        <v/>
      </c>
      <c r="H202">
        <f>IFERROR(INDEX('All products'!$H$2:$H$109,MATCH(197,'All products'!$Q$2:$Q$109,0))&amp;"","")</f>
        <v/>
      </c>
      <c r="I202">
        <f>IFERROR(INDEX('All products'!$I$2:$I$109,MATCH(197,'All products'!$Q$2:$Q$109,0))&amp;"","")</f>
        <v/>
      </c>
      <c r="J202">
        <f>IFERROR(INDEX('All products'!$J$2:$J$109,MATCH(197,'All products'!$Q$2:$Q$109,0))&amp;"","")</f>
        <v/>
      </c>
      <c r="K202">
        <f>IFERROR(INDEX('All products'!$K$2:$K$109,MATCH(197,'All products'!$Q$2:$Q$109,0))&amp;"","")</f>
        <v/>
      </c>
      <c r="L202">
        <f>IFERROR(INDEX('All products'!$L$2:$L$109,MATCH(197,'All products'!$Q$2:$Q$109,0))&amp;"","")</f>
        <v/>
      </c>
      <c r="M202">
        <f>IFERROR(INDEX('All products'!$M$2:$M$109,MATCH(197,'All products'!$Q$2:$Q$109,0))&amp;"","")</f>
        <v/>
      </c>
      <c r="N202">
        <f>IFERROR(INDEX('All products'!$N$2:$N$109,MATCH(197,'All products'!$Q$2:$Q$109,0))&amp;"","")</f>
        <v/>
      </c>
      <c r="O202">
        <f>IFERROR(HYPERLINK(INDEX('All products'!$O$2:$O$109,MATCH(197,'All products'!$Q$2:$Q$109,0))),"")</f>
        <v/>
      </c>
    </row>
    <row r="203">
      <c r="A203">
        <f>IFERROR(INDEX('All products'!$A$2:$A$109,MATCH(198,'All products'!$Q$2:$Q$109,0))&amp;"","")</f>
        <v/>
      </c>
      <c r="B203">
        <f>IFERROR(INDEX('All products'!$B$2:$B$109,MATCH(198,'All products'!$Q$2:$Q$109,0))&amp;"","")</f>
        <v/>
      </c>
      <c r="C203">
        <f>IFERROR(INDEX('All products'!$C$2:$C$109,MATCH(198,'All products'!$Q$2:$Q$109,0))&amp;"","")</f>
        <v/>
      </c>
      <c r="D203">
        <f>IFERROR(INDEX('All products'!$D$2:$D$109,MATCH(198,'All products'!$Q$2:$Q$109,0))&amp;"","")</f>
        <v/>
      </c>
      <c r="E203">
        <f>IFERROR(INDEX('All products'!$E$2:$E$109,MATCH(198,'All products'!$Q$2:$Q$109,0))&amp;"","")</f>
        <v/>
      </c>
      <c r="F203">
        <f>IFERROR(INDEX('All products'!$F$2:$F$109,MATCH(198,'All products'!$Q$2:$Q$109,0))&amp;"","")</f>
        <v/>
      </c>
      <c r="G203">
        <f>IFERROR(INDEX('All products'!$G$2:$G$109,MATCH(198,'All products'!$Q$2:$Q$109,0))&amp;"","")</f>
        <v/>
      </c>
      <c r="H203">
        <f>IFERROR(INDEX('All products'!$H$2:$H$109,MATCH(198,'All products'!$Q$2:$Q$109,0))&amp;"","")</f>
        <v/>
      </c>
      <c r="I203">
        <f>IFERROR(INDEX('All products'!$I$2:$I$109,MATCH(198,'All products'!$Q$2:$Q$109,0))&amp;"","")</f>
        <v/>
      </c>
      <c r="J203">
        <f>IFERROR(INDEX('All products'!$J$2:$J$109,MATCH(198,'All products'!$Q$2:$Q$109,0))&amp;"","")</f>
        <v/>
      </c>
      <c r="K203">
        <f>IFERROR(INDEX('All products'!$K$2:$K$109,MATCH(198,'All products'!$Q$2:$Q$109,0))&amp;"","")</f>
        <v/>
      </c>
      <c r="L203">
        <f>IFERROR(INDEX('All products'!$L$2:$L$109,MATCH(198,'All products'!$Q$2:$Q$109,0))&amp;"","")</f>
        <v/>
      </c>
      <c r="M203">
        <f>IFERROR(INDEX('All products'!$M$2:$M$109,MATCH(198,'All products'!$Q$2:$Q$109,0))&amp;"","")</f>
        <v/>
      </c>
      <c r="N203">
        <f>IFERROR(INDEX('All products'!$N$2:$N$109,MATCH(198,'All products'!$Q$2:$Q$109,0))&amp;"","")</f>
        <v/>
      </c>
      <c r="O203">
        <f>IFERROR(HYPERLINK(INDEX('All products'!$O$2:$O$109,MATCH(198,'All products'!$Q$2:$Q$109,0))),"")</f>
        <v/>
      </c>
    </row>
    <row r="204">
      <c r="A204">
        <f>IFERROR(INDEX('All products'!$A$2:$A$109,MATCH(199,'All products'!$Q$2:$Q$109,0))&amp;"","")</f>
        <v/>
      </c>
      <c r="B204">
        <f>IFERROR(INDEX('All products'!$B$2:$B$109,MATCH(199,'All products'!$Q$2:$Q$109,0))&amp;"","")</f>
        <v/>
      </c>
      <c r="C204">
        <f>IFERROR(INDEX('All products'!$C$2:$C$109,MATCH(199,'All products'!$Q$2:$Q$109,0))&amp;"","")</f>
        <v/>
      </c>
      <c r="D204">
        <f>IFERROR(INDEX('All products'!$D$2:$D$109,MATCH(199,'All products'!$Q$2:$Q$109,0))&amp;"","")</f>
        <v/>
      </c>
      <c r="E204">
        <f>IFERROR(INDEX('All products'!$E$2:$E$109,MATCH(199,'All products'!$Q$2:$Q$109,0))&amp;"","")</f>
        <v/>
      </c>
      <c r="F204">
        <f>IFERROR(INDEX('All products'!$F$2:$F$109,MATCH(199,'All products'!$Q$2:$Q$109,0))&amp;"","")</f>
        <v/>
      </c>
      <c r="G204">
        <f>IFERROR(INDEX('All products'!$G$2:$G$109,MATCH(199,'All products'!$Q$2:$Q$109,0))&amp;"","")</f>
        <v/>
      </c>
      <c r="H204">
        <f>IFERROR(INDEX('All products'!$H$2:$H$109,MATCH(199,'All products'!$Q$2:$Q$109,0))&amp;"","")</f>
        <v/>
      </c>
      <c r="I204">
        <f>IFERROR(INDEX('All products'!$I$2:$I$109,MATCH(199,'All products'!$Q$2:$Q$109,0))&amp;"","")</f>
        <v/>
      </c>
      <c r="J204">
        <f>IFERROR(INDEX('All products'!$J$2:$J$109,MATCH(199,'All products'!$Q$2:$Q$109,0))&amp;"","")</f>
        <v/>
      </c>
      <c r="K204">
        <f>IFERROR(INDEX('All products'!$K$2:$K$109,MATCH(199,'All products'!$Q$2:$Q$109,0))&amp;"","")</f>
        <v/>
      </c>
      <c r="L204">
        <f>IFERROR(INDEX('All products'!$L$2:$L$109,MATCH(199,'All products'!$Q$2:$Q$109,0))&amp;"","")</f>
        <v/>
      </c>
      <c r="M204">
        <f>IFERROR(INDEX('All products'!$M$2:$M$109,MATCH(199,'All products'!$Q$2:$Q$109,0))&amp;"","")</f>
        <v/>
      </c>
      <c r="N204">
        <f>IFERROR(INDEX('All products'!$N$2:$N$109,MATCH(199,'All products'!$Q$2:$Q$109,0))&amp;"","")</f>
        <v/>
      </c>
      <c r="O204">
        <f>IFERROR(HYPERLINK(INDEX('All products'!$O$2:$O$109,MATCH(199,'All products'!$Q$2:$Q$109,0))),"")</f>
        <v/>
      </c>
    </row>
    <row r="205">
      <c r="A205">
        <f>IFERROR(INDEX('All products'!$A$2:$A$109,MATCH(200,'All products'!$Q$2:$Q$109,0))&amp;"","")</f>
        <v/>
      </c>
      <c r="B205">
        <f>IFERROR(INDEX('All products'!$B$2:$B$109,MATCH(200,'All products'!$Q$2:$Q$109,0))&amp;"","")</f>
        <v/>
      </c>
      <c r="C205">
        <f>IFERROR(INDEX('All products'!$C$2:$C$109,MATCH(200,'All products'!$Q$2:$Q$109,0))&amp;"","")</f>
        <v/>
      </c>
      <c r="D205">
        <f>IFERROR(INDEX('All products'!$D$2:$D$109,MATCH(200,'All products'!$Q$2:$Q$109,0))&amp;"","")</f>
        <v/>
      </c>
      <c r="E205">
        <f>IFERROR(INDEX('All products'!$E$2:$E$109,MATCH(200,'All products'!$Q$2:$Q$109,0))&amp;"","")</f>
        <v/>
      </c>
      <c r="F205">
        <f>IFERROR(INDEX('All products'!$F$2:$F$109,MATCH(200,'All products'!$Q$2:$Q$109,0))&amp;"","")</f>
        <v/>
      </c>
      <c r="G205">
        <f>IFERROR(INDEX('All products'!$G$2:$G$109,MATCH(200,'All products'!$Q$2:$Q$109,0))&amp;"","")</f>
        <v/>
      </c>
      <c r="H205">
        <f>IFERROR(INDEX('All products'!$H$2:$H$109,MATCH(200,'All products'!$Q$2:$Q$109,0))&amp;"","")</f>
        <v/>
      </c>
      <c r="I205">
        <f>IFERROR(INDEX('All products'!$I$2:$I$109,MATCH(200,'All products'!$Q$2:$Q$109,0))&amp;"","")</f>
        <v/>
      </c>
      <c r="J205">
        <f>IFERROR(INDEX('All products'!$J$2:$J$109,MATCH(200,'All products'!$Q$2:$Q$109,0))&amp;"","")</f>
        <v/>
      </c>
      <c r="K205">
        <f>IFERROR(INDEX('All products'!$K$2:$K$109,MATCH(200,'All products'!$Q$2:$Q$109,0))&amp;"","")</f>
        <v/>
      </c>
      <c r="L205">
        <f>IFERROR(INDEX('All products'!$L$2:$L$109,MATCH(200,'All products'!$Q$2:$Q$109,0))&amp;"","")</f>
        <v/>
      </c>
      <c r="M205">
        <f>IFERROR(INDEX('All products'!$M$2:$M$109,MATCH(200,'All products'!$Q$2:$Q$109,0))&amp;"","")</f>
        <v/>
      </c>
      <c r="N205">
        <f>IFERROR(INDEX('All products'!$N$2:$N$109,MATCH(200,'All products'!$Q$2:$Q$109,0))&amp;"","")</f>
        <v/>
      </c>
      <c r="O205">
        <f>IFERROR(HYPERLINK(INDEX('All products'!$O$2:$O$109,MATCH(200,'All products'!$Q$2:$Q$109,0))),"")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1" customWidth="1" min="3" max="3"/>
    <col width="17" customWidth="1" min="4" max="4"/>
    <col width="18" customWidth="1" min="5" max="5"/>
    <col width="10" customWidth="1" min="6" max="6"/>
    <col width="14" customWidth="1" min="7" max="7"/>
    <col width="27" customWidth="1" min="8" max="8"/>
    <col width="10" customWidth="1" min="9" max="9"/>
    <col width="41" customWidth="1" min="10" max="10"/>
    <col width="12" customWidth="1" min="11" max="11"/>
    <col width="60" customWidth="1" min="12" max="12"/>
    <col width="58" customWidth="1" min="13" max="13"/>
  </cols>
  <sheetData>
    <row r="1">
      <c r="A1" s="5" t="inlineStr">
        <is>
          <t>Model</t>
        </is>
      </c>
      <c r="B1" s="5" t="inlineStr">
        <is>
          <t>Variant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Form factor</t>
        </is>
      </c>
      <c r="H1" s="5" t="inlineStr">
        <is>
          <t>Interfaces</t>
        </is>
      </c>
      <c r="I1" s="5" t="inlineStr">
        <is>
          <t>Medium</t>
        </is>
      </c>
      <c r="J1" s="5" t="inlineStr">
        <is>
          <t>Reach</t>
        </is>
      </c>
      <c r="K1" s="5" t="inlineStr">
        <is>
          <t>Fabric</t>
        </is>
      </c>
      <c r="L1" s="5" t="inlineStr">
        <is>
          <t>Description</t>
        </is>
      </c>
      <c r="M1" s="5" t="inlineStr">
        <is>
          <t>Link</t>
        </is>
      </c>
    </row>
    <row r="2">
      <c r="A2" t="inlineStr">
        <is>
          <t>MMS4B10-XM</t>
        </is>
      </c>
      <c r="B2" t="inlineStr">
        <is>
          <t>RHS/TRO</t>
        </is>
      </c>
      <c r="C2" t="inlineStr">
        <is>
          <t>active</t>
        </is>
      </c>
      <c r="D2" t="inlineStr">
        <is>
          <t>—</t>
        </is>
      </c>
      <c r="E2" t="inlineStr">
        <is>
          <t>980-9IAJ0-00XM00</t>
        </is>
      </c>
      <c r="F2" t="inlineStr">
        <is>
          <t>1600G</t>
        </is>
      </c>
      <c r="G2" t="inlineStr">
        <is>
          <t>OSFP-flattop</t>
        </is>
      </c>
      <c r="H2" t="inlineStr">
        <is>
          <t>2x 800Gb/s MPO-12/APC</t>
        </is>
      </c>
      <c r="I2" t="inlineStr">
        <is>
          <t>SM</t>
        </is>
      </c>
      <c r="J2" t="inlineStr">
        <is>
          <t>max 500 m</t>
        </is>
      </c>
      <c r="K2" t="inlineStr">
        <is>
          <t>ETH</t>
        </is>
      </c>
      <c r="L2" t="inlineStr">
        <is>
          <t>MMS4B10-XM TRO 1600Gbps OSFP Twin-Port 2xDR4, 2xMPO (APC) 1310nm SMF Transceiver (up to 500m)</t>
        </is>
      </c>
      <c r="M2" s="6" t="inlineStr">
        <is>
          <t>https://networking-docs.nvidia.com/mms4b10xmtro1600g</t>
        </is>
      </c>
    </row>
    <row r="3">
      <c r="A3" t="inlineStr">
        <is>
          <t>MMS4B10-XM</t>
        </is>
      </c>
      <c r="B3" t="inlineStr">
        <is>
          <t>IHS/TRO</t>
        </is>
      </c>
      <c r="C3" t="inlineStr">
        <is>
          <t>active</t>
        </is>
      </c>
      <c r="D3" t="inlineStr">
        <is>
          <t>—</t>
        </is>
      </c>
      <c r="E3" t="inlineStr">
        <is>
          <t>980-9IAJ0-00XM01</t>
        </is>
      </c>
      <c r="F3" t="inlineStr">
        <is>
          <t>1600G</t>
        </is>
      </c>
      <c r="G3" t="inlineStr">
        <is>
          <t>OSFP-finned</t>
        </is>
      </c>
      <c r="H3" t="inlineStr">
        <is>
          <t>2x 800Gb/s MPO-12/APC</t>
        </is>
      </c>
      <c r="I3" t="inlineStr">
        <is>
          <t>SM</t>
        </is>
      </c>
      <c r="J3" t="inlineStr">
        <is>
          <t>max 500 m</t>
        </is>
      </c>
      <c r="K3" t="inlineStr">
        <is>
          <t>ETH</t>
        </is>
      </c>
      <c r="L3" t="inlineStr">
        <is>
          <t>MMS4B10-XM TRO 1600Gbps OSFP Twin-Port 2xDR4, 2xMPO (APC) 1310nm SMF Transceiver (up to 500m)</t>
        </is>
      </c>
      <c r="M3" s="6" t="inlineStr">
        <is>
          <t>https://networking-docs.nvidia.com/mms4b10xmtro1600g</t>
        </is>
      </c>
    </row>
    <row r="4">
      <c r="A4" t="inlineStr">
        <is>
          <t>MMS4C10</t>
        </is>
      </c>
      <c r="B4" t="inlineStr">
        <is>
          <t>RHS/FRO Gen2 (XDR)</t>
        </is>
      </c>
      <c r="C4" t="inlineStr">
        <is>
          <t>active</t>
        </is>
      </c>
      <c r="D4" t="inlineStr">
        <is>
          <t>—</t>
        </is>
      </c>
      <c r="E4" t="inlineStr">
        <is>
          <t>980-9IAU0-00XM00</t>
        </is>
      </c>
      <c r="F4" t="inlineStr">
        <is>
          <t>1600G</t>
        </is>
      </c>
      <c r="G4" t="inlineStr">
        <is>
          <t>OSFP-flattop</t>
        </is>
      </c>
      <c r="H4" t="inlineStr">
        <is>
          <t>2x 800Gb/s MPO-12/APC</t>
        </is>
      </c>
      <c r="I4" t="inlineStr">
        <is>
          <t>SM</t>
        </is>
      </c>
      <c r="J4" t="inlineStr">
        <is>
          <t>max 500 m</t>
        </is>
      </c>
      <c r="K4" t="inlineStr">
        <is>
          <t>IB</t>
        </is>
      </c>
      <c r="L4" t="inlineStr">
        <is>
          <t>NVIDIA MMS4C1X FRO 1600Gbps, 2xDR4, Twin-port OSFP, 2xMPO (APC), 1310nm Single Mode Transceiver (up to 500m)</t>
        </is>
      </c>
      <c r="M4" s="6" t="inlineStr">
        <is>
          <t>https://networking-docs.nvidia.com/9iau000xmosfptcvr1600</t>
        </is>
      </c>
    </row>
    <row r="5">
      <c r="A5" t="inlineStr">
        <is>
          <t>MMS4C10</t>
        </is>
      </c>
      <c r="B5" t="inlineStr">
        <is>
          <t>IHS/FRO Gen2 (XDR)</t>
        </is>
      </c>
      <c r="C5" t="inlineStr">
        <is>
          <t>active</t>
        </is>
      </c>
      <c r="D5" t="inlineStr">
        <is>
          <t>—</t>
        </is>
      </c>
      <c r="E5" t="inlineStr">
        <is>
          <t>980-9IAU0-00XM01</t>
        </is>
      </c>
      <c r="F5" t="inlineStr">
        <is>
          <t>1600G</t>
        </is>
      </c>
      <c r="G5" t="inlineStr">
        <is>
          <t>OSFP-finned</t>
        </is>
      </c>
      <c r="H5" t="inlineStr">
        <is>
          <t>2x 800Gb/s MPO-12/APC</t>
        </is>
      </c>
      <c r="I5" t="inlineStr">
        <is>
          <t>SM</t>
        </is>
      </c>
      <c r="J5" t="inlineStr">
        <is>
          <t>max 500 m</t>
        </is>
      </c>
      <c r="K5" t="inlineStr">
        <is>
          <t>IB</t>
        </is>
      </c>
      <c r="L5" t="inlineStr">
        <is>
          <t>NVIDIA MMS4C1X FRO 1600Gbps, 2xDR4, Twin-port OSFP, 2xMPO (APC), 1310nm Single Mode Transceiver (up to 500m)</t>
        </is>
      </c>
      <c r="M5" s="6" t="inlineStr">
        <is>
          <t>https://networking-docs.nvidia.com/9iau000xmosfptcvr1600</t>
        </is>
      </c>
    </row>
    <row r="6">
      <c r="A6" t="inlineStr">
        <is>
          <t>MMS4C11</t>
        </is>
      </c>
      <c r="B6" t="inlineStr">
        <is>
          <t>RHS/FRO Gen2 (Ethernet)</t>
        </is>
      </c>
      <c r="C6" t="inlineStr">
        <is>
          <t>active</t>
        </is>
      </c>
      <c r="D6" t="inlineStr">
        <is>
          <t>—</t>
        </is>
      </c>
      <c r="E6" t="inlineStr">
        <is>
          <t>980-9IAU1-00XM00</t>
        </is>
      </c>
      <c r="F6" t="inlineStr">
        <is>
          <t>1600G</t>
        </is>
      </c>
      <c r="G6" t="inlineStr">
        <is>
          <t>OSFP-flattop</t>
        </is>
      </c>
      <c r="H6" t="inlineStr">
        <is>
          <t>2x 800Gb/s MPO-12/APC</t>
        </is>
      </c>
      <c r="I6" t="inlineStr">
        <is>
          <t>SM</t>
        </is>
      </c>
      <c r="J6" t="inlineStr">
        <is>
          <t>max 500 m</t>
        </is>
      </c>
      <c r="K6" t="inlineStr">
        <is>
          <t>ETH</t>
        </is>
      </c>
      <c r="L6" t="inlineStr">
        <is>
          <t>NVIDIA MMS4C1X FRO 1600Gbps, 2xDR4, Twin-port OSFP, 2xMPO (APC), 1310nm Single Mode Transceiver (up to 500m)</t>
        </is>
      </c>
      <c r="M6" s="6" t="inlineStr">
        <is>
          <t>https://networking-docs.nvidia.com/9iau000xmosfptcvr1600</t>
        </is>
      </c>
    </row>
    <row r="7">
      <c r="A7" t="inlineStr">
        <is>
          <t>MMS4C11</t>
        </is>
      </c>
      <c r="B7" t="inlineStr">
        <is>
          <t>IHS/FRO Gen2 (Ethernet)</t>
        </is>
      </c>
      <c r="C7" t="inlineStr">
        <is>
          <t>active</t>
        </is>
      </c>
      <c r="D7" t="inlineStr">
        <is>
          <t>—</t>
        </is>
      </c>
      <c r="E7" t="inlineStr">
        <is>
          <t>980-9IAU1-00XM01</t>
        </is>
      </c>
      <c r="F7" t="inlineStr">
        <is>
          <t>1600G</t>
        </is>
      </c>
      <c r="G7" t="inlineStr">
        <is>
          <t>OSFP-finned</t>
        </is>
      </c>
      <c r="H7" t="inlineStr">
        <is>
          <t>2x 800Gb/s MPO-12/APC</t>
        </is>
      </c>
      <c r="I7" t="inlineStr">
        <is>
          <t>SM</t>
        </is>
      </c>
      <c r="J7" t="inlineStr">
        <is>
          <t>max 500 m</t>
        </is>
      </c>
      <c r="K7" t="inlineStr">
        <is>
          <t>ETH</t>
        </is>
      </c>
      <c r="L7" t="inlineStr">
        <is>
          <t>NVIDIA MMS4C1X FRO 1600Gbps, 2xDR4, Twin-port OSFP, 2xMPO (APC), 1310nm Single Mode Transceiver (up to 500m)</t>
        </is>
      </c>
      <c r="M7" s="6" t="inlineStr">
        <is>
          <t>https://networking-docs.nvidia.com/9iau000xmosfptcvr1600</t>
        </is>
      </c>
    </row>
    <row r="8">
      <c r="A8" t="inlineStr">
        <is>
          <t>MMS4A00</t>
        </is>
      </c>
      <c r="B8" t="inlineStr">
        <is>
          <t>IHS</t>
        </is>
      </c>
      <c r="C8" t="inlineStr">
        <is>
          <t>active</t>
        </is>
      </c>
      <c r="D8" t="inlineStr">
        <is>
          <t>MMS4A00</t>
        </is>
      </c>
      <c r="E8" t="inlineStr">
        <is>
          <t>980-9IAH1-00XM00</t>
        </is>
      </c>
      <c r="F8" t="inlineStr">
        <is>
          <t>1600G</t>
        </is>
      </c>
      <c r="G8" t="inlineStr">
        <is>
          <t>OSFP-finned</t>
        </is>
      </c>
      <c r="H8" t="inlineStr">
        <is>
          <t>2x 800Gb/s MPO-12/APC</t>
        </is>
      </c>
      <c r="I8" t="inlineStr">
        <is>
          <t>SM</t>
        </is>
      </c>
      <c r="J8" t="inlineStr">
        <is>
          <t>max 500 m</t>
        </is>
      </c>
      <c r="K8" t="inlineStr">
        <is>
          <t>IB</t>
        </is>
      </c>
      <c r="L8" t="inlineStr">
        <is>
          <t>NVIDIA MMS4A00 1600Gbps, 2xDR4, Twin-port OSFP, 2xMPO, 1310nm Single Mode Transceiver (up to 500m)</t>
        </is>
      </c>
      <c r="M8" s="6" t="inlineStr">
        <is>
          <t>https://networking-docs.nvidia.com/9iahx00xmosfptcvr1600</t>
        </is>
      </c>
    </row>
    <row r="9">
      <c r="A9" t="inlineStr">
        <is>
          <t>MMS4A00</t>
        </is>
      </c>
      <c r="B9" t="inlineStr">
        <is>
          <t>RHS</t>
        </is>
      </c>
      <c r="C9" t="inlineStr">
        <is>
          <t>planned</t>
        </is>
      </c>
      <c r="D9" t="inlineStr">
        <is>
          <t>—</t>
        </is>
      </c>
      <c r="E9" t="inlineStr">
        <is>
          <t>980-9IAH0-00XM00</t>
        </is>
      </c>
      <c r="F9" t="inlineStr">
        <is>
          <t>1600G</t>
        </is>
      </c>
      <c r="G9" t="inlineStr">
        <is>
          <t>OSFP-flattop</t>
        </is>
      </c>
      <c r="H9" t="inlineStr">
        <is>
          <t>2x 800Gb/s MPO-12/APC</t>
        </is>
      </c>
      <c r="I9" t="inlineStr">
        <is>
          <t>SM</t>
        </is>
      </c>
      <c r="J9" t="inlineStr">
        <is>
          <t>max 500 m</t>
        </is>
      </c>
      <c r="K9" t="inlineStr">
        <is>
          <t>IB</t>
        </is>
      </c>
      <c r="L9" t="inlineStr">
        <is>
          <t>NVIDIA MMS4A00 1600Gbps, 2xDR4, Twin-port OSFP, 2xMPO, 1310nm Single Mode Transceiver (up to 500m)</t>
        </is>
      </c>
      <c r="M9" s="6" t="inlineStr">
        <is>
          <t>https://networking-docs.nvidia.com/9iahx00xmosfptcvr1600</t>
        </is>
      </c>
    </row>
    <row r="10">
      <c r="A10" t="inlineStr">
        <is>
          <t>MMS4A50</t>
        </is>
      </c>
      <c r="B10" t="inlineStr">
        <is>
          <t>RHS</t>
        </is>
      </c>
      <c r="C10" t="inlineStr">
        <is>
          <t>active</t>
        </is>
      </c>
      <c r="D10" t="inlineStr">
        <is>
          <t>—</t>
        </is>
      </c>
      <c r="E10" t="inlineStr">
        <is>
          <t>980-9IAS1-00XM00</t>
        </is>
      </c>
      <c r="F10" t="inlineStr">
        <is>
          <t>1600G</t>
        </is>
      </c>
      <c r="G10" t="inlineStr">
        <is>
          <t>OSFP-flattop</t>
        </is>
      </c>
      <c r="H10" t="inlineStr">
        <is>
          <t>2x 800Gb/s Dual LC Duplex</t>
        </is>
      </c>
      <c r="I10" t="inlineStr">
        <is>
          <t>SM</t>
        </is>
      </c>
      <c r="J10" t="inlineStr">
        <is>
          <t>max 2000 m</t>
        </is>
      </c>
      <c r="K10" t="inlineStr">
        <is>
          <t>IB/ETH</t>
        </is>
      </c>
      <c r="L10" t="inlineStr">
        <is>
          <t>NVIDIA MMS4A50 1600Gbps, OSFP, 2xLC-LC, 1310nm SMF, 2xFR4 Twin-port Transceiver (up to 2km)</t>
        </is>
      </c>
      <c r="M10" s="6" t="inlineStr">
        <is>
          <t>https://networking-docs.nvidia.com/mms4a501600gosfp</t>
        </is>
      </c>
    </row>
    <row r="11">
      <c r="A11" t="inlineStr">
        <is>
          <t>MMS4A50</t>
        </is>
      </c>
      <c r="B11" t="inlineStr">
        <is>
          <t>IHS</t>
        </is>
      </c>
      <c r="C11" t="inlineStr">
        <is>
          <t>active</t>
        </is>
      </c>
      <c r="D11" t="inlineStr">
        <is>
          <t>—</t>
        </is>
      </c>
      <c r="E11" t="inlineStr">
        <is>
          <t>980-9IAS0-00XM00</t>
        </is>
      </c>
      <c r="F11" t="inlineStr">
        <is>
          <t>1600G</t>
        </is>
      </c>
      <c r="G11" t="inlineStr">
        <is>
          <t>OSFP-finned</t>
        </is>
      </c>
      <c r="H11" t="inlineStr">
        <is>
          <t>2x 800Gb/s Dual LC Duplex</t>
        </is>
      </c>
      <c r="I11" t="inlineStr">
        <is>
          <t>SM</t>
        </is>
      </c>
      <c r="J11" t="inlineStr">
        <is>
          <t>max 2000 m</t>
        </is>
      </c>
      <c r="K11" t="inlineStr">
        <is>
          <t>IB/ETH</t>
        </is>
      </c>
      <c r="L11" t="inlineStr">
        <is>
          <t>NVIDIA MMS4A50 1600Gbps, OSFP, 2xLC-LC, 1310nm SMF, 2xFR4 Twin-port Transceiver (up to 2km)</t>
        </is>
      </c>
      <c r="M11" s="6" t="inlineStr">
        <is>
          <t>https://networking-docs.nvidia.com/mms4a501600gosfp</t>
        </is>
      </c>
    </row>
    <row r="12">
      <c r="A12" t="inlineStr">
        <is>
          <t>MMA1Z00-NS400</t>
        </is>
      </c>
      <c r="B12" t="inlineStr">
        <is>
          <t>—</t>
        </is>
      </c>
      <c r="C12" t="inlineStr">
        <is>
          <t>active</t>
        </is>
      </c>
      <c r="D12" t="inlineStr">
        <is>
          <t>MMA1Z00-NS400</t>
        </is>
      </c>
      <c r="E12" t="inlineStr">
        <is>
          <t>980-9I693-00NS00</t>
        </is>
      </c>
      <c r="F12" t="inlineStr">
        <is>
          <t>400G</t>
        </is>
      </c>
      <c r="G12" t="inlineStr">
        <is>
          <t>QSFP112</t>
        </is>
      </c>
      <c r="H12" t="inlineStr">
        <is>
          <t>1x 400Gb/s MPO-12/APC</t>
        </is>
      </c>
      <c r="I12" t="inlineStr">
        <is>
          <t>MM</t>
        </is>
      </c>
      <c r="J12" t="inlineStr">
        <is>
          <t>OM3 30 m, OM4 50 m, max 50 m</t>
        </is>
      </c>
      <c r="K12" t="inlineStr">
        <is>
          <t>IB/ETH</t>
        </is>
      </c>
      <c r="L12" t="inlineStr">
        <is>
          <t>MMA1Z00-NS400 400Gb/s, Single-port, QSFP112 Multimode SR4 Transceivers Product Specifications</t>
        </is>
      </c>
      <c r="M12" s="6" t="inlineStr">
        <is>
          <t>https://networking-docs.nvidia.com/mms1z00ns400sr4</t>
        </is>
      </c>
    </row>
    <row r="13">
      <c r="A13" t="inlineStr">
        <is>
          <t>MMS1V00-WM</t>
        </is>
      </c>
      <c r="B13" t="inlineStr">
        <is>
          <t>—</t>
        </is>
      </c>
      <c r="C13" t="inlineStr">
        <is>
          <t>active</t>
        </is>
      </c>
      <c r="D13" t="inlineStr">
        <is>
          <t>MMS1V00-WM</t>
        </is>
      </c>
      <c r="E13" t="inlineStr">
        <is>
          <t>980-9I16Y-00W000</t>
        </is>
      </c>
      <c r="F13" t="inlineStr">
        <is>
          <t>400G</t>
        </is>
      </c>
      <c r="G13" t="inlineStr">
        <is>
          <t>QSFP-DD</t>
        </is>
      </c>
      <c r="H13" t="inlineStr">
        <is>
          <t>1x 400Gb/s MPO-12/APC</t>
        </is>
      </c>
      <c r="I13" t="inlineStr">
        <is>
          <t>SM</t>
        </is>
      </c>
      <c r="J13" t="inlineStr">
        <is>
          <t>max 500 m</t>
        </is>
      </c>
      <c r="K13" t="inlineStr">
        <is>
          <t>ETH</t>
        </is>
      </c>
      <c r="L13" t="inlineStr">
        <is>
          <t>MMS1V00-WM 400GbE QSFP-DD DR4 Transceiver Product Specifications</t>
        </is>
      </c>
      <c r="M13" s="6" t="inlineStr">
        <is>
          <t>https://networking-docs.nvidia.com/mms1v00wm10</t>
        </is>
      </c>
    </row>
    <row r="14">
      <c r="A14" t="inlineStr">
        <is>
          <t>MMS4X00-NS400</t>
        </is>
      </c>
      <c r="B14" t="inlineStr">
        <is>
          <t>—</t>
        </is>
      </c>
      <c r="C14" t="inlineStr">
        <is>
          <t>active</t>
        </is>
      </c>
      <c r="D14" t="inlineStr">
        <is>
          <t>MMS4X00-NS400</t>
        </is>
      </c>
      <c r="E14" t="inlineStr">
        <is>
          <t>980-9I31N-00NM00</t>
        </is>
      </c>
      <c r="F14" t="inlineStr">
        <is>
          <t>400G</t>
        </is>
      </c>
      <c r="G14" t="inlineStr">
        <is>
          <t>OSFP-flattop</t>
        </is>
      </c>
      <c r="H14" t="inlineStr">
        <is>
          <t>1x 400Gb/s MPO-12/APC</t>
        </is>
      </c>
      <c r="I14" t="inlineStr">
        <is>
          <t>SM</t>
        </is>
      </c>
      <c r="J14" t="inlineStr">
        <is>
          <t>max 100 m</t>
        </is>
      </c>
      <c r="K14" t="inlineStr">
        <is>
          <t>IB/ETH</t>
        </is>
      </c>
      <c r="L14" t="inlineStr">
        <is>
          <t>MMS4X00-NS400 400Gb/s Single-port OSFP Single Mode DR4 Transceivers Product Specifications</t>
        </is>
      </c>
      <c r="M14" s="6" t="inlineStr">
        <is>
          <t>https://networking-docs.nvidia.com/mms4x00ns400</t>
        </is>
      </c>
    </row>
    <row r="15">
      <c r="A15" t="inlineStr">
        <is>
          <t>MMA4Z00-NS400</t>
        </is>
      </c>
      <c r="B15" t="inlineStr">
        <is>
          <t>—</t>
        </is>
      </c>
      <c r="C15" t="inlineStr">
        <is>
          <t>active</t>
        </is>
      </c>
      <c r="D15" t="inlineStr">
        <is>
          <t>MMA4Z00-NS400</t>
        </is>
      </c>
      <c r="E15" t="inlineStr">
        <is>
          <t>980-9I51S-00NS00</t>
        </is>
      </c>
      <c r="F15" t="inlineStr">
        <is>
          <t>400G</t>
        </is>
      </c>
      <c r="G15" t="inlineStr">
        <is>
          <t>OSFP-flattop</t>
        </is>
      </c>
      <c r="H15" t="inlineStr">
        <is>
          <t>1x 400Gb/s MPO-12/APC</t>
        </is>
      </c>
      <c r="I15" t="inlineStr">
        <is>
          <t>MM</t>
        </is>
      </c>
      <c r="J15" t="inlineStr">
        <is>
          <t>OM3 30 m, OM4 50 m, max 50 m</t>
        </is>
      </c>
      <c r="K15" t="inlineStr">
        <is>
          <t>IB/ETH</t>
        </is>
      </c>
      <c r="L15" t="inlineStr">
        <is>
          <t>MMA4Z00-NS400 400Gb/s Single-port OSFP 400Gb/s Multimode SR4 50m</t>
        </is>
      </c>
      <c r="M15" s="6" t="inlineStr">
        <is>
          <t>https://networking-docs.nvidia.com/mma4z00ns400</t>
        </is>
      </c>
    </row>
    <row r="16">
      <c r="A16" t="inlineStr">
        <is>
          <t>MMA4Z00-NS400-T</t>
        </is>
      </c>
      <c r="B16" t="inlineStr">
        <is>
          <t>—</t>
        </is>
      </c>
      <c r="C16" t="inlineStr">
        <is>
          <t>active</t>
        </is>
      </c>
      <c r="D16" t="inlineStr">
        <is>
          <t>MMA4Z00-NS400-T</t>
        </is>
      </c>
      <c r="E16" t="inlineStr">
        <is>
          <t>980-9I51S-F4NS00</t>
        </is>
      </c>
      <c r="F16" t="inlineStr">
        <is>
          <t>400G</t>
        </is>
      </c>
      <c r="G16" t="inlineStr">
        <is>
          <t>OSFP-flattop</t>
        </is>
      </c>
      <c r="H16" t="inlineStr">
        <is>
          <t>1x 400Gb/s MPO-12/APC</t>
        </is>
      </c>
      <c r="I16" t="inlineStr">
        <is>
          <t>MM</t>
        </is>
      </c>
      <c r="J16" t="inlineStr">
        <is>
          <t>max 50 m</t>
        </is>
      </c>
      <c r="K16" t="inlineStr">
        <is>
          <t>ETH</t>
        </is>
      </c>
      <c r="L16" t="inlineStr">
        <is>
          <t>MMA4Z00-NS400-T 400Gb/s Single-port OSFP 400Gb/s Multimode 50m</t>
        </is>
      </c>
      <c r="M16" s="6" t="inlineStr">
        <is>
          <t>https://networking-docs.nvidia.com/mma4z00ns400t</t>
        </is>
      </c>
    </row>
    <row r="17">
      <c r="A17" t="inlineStr">
        <is>
          <t>MMA1Z00-NS400-T</t>
        </is>
      </c>
      <c r="B17" t="inlineStr">
        <is>
          <t>—</t>
        </is>
      </c>
      <c r="C17" t="inlineStr">
        <is>
          <t>active</t>
        </is>
      </c>
      <c r="D17" t="inlineStr">
        <is>
          <t>MMA1Z00-NS400-T</t>
        </is>
      </c>
      <c r="E17" t="inlineStr">
        <is>
          <t>980-9I693-F4NS00</t>
        </is>
      </c>
      <c r="F17" t="inlineStr">
        <is>
          <t>400G</t>
        </is>
      </c>
      <c r="G17" t="inlineStr">
        <is>
          <t>QSFP112</t>
        </is>
      </c>
      <c r="H17" t="inlineStr">
        <is>
          <t>1x 400Gb/s MPO-12/APC</t>
        </is>
      </c>
      <c r="I17" t="inlineStr">
        <is>
          <t>MM</t>
        </is>
      </c>
      <c r="J17" t="inlineStr">
        <is>
          <t>max 50 m</t>
        </is>
      </c>
      <c r="K17" t="inlineStr">
        <is>
          <t>ETH</t>
        </is>
      </c>
      <c r="L17" t="inlineStr">
        <is>
          <t>NVIDIA MMA1Z00-NS400-T 400Gb/s, Single-port, QSFP112 Multimode Transceivers Product Specifications</t>
        </is>
      </c>
      <c r="M17" s="6" t="inlineStr">
        <is>
          <t>https://networking-docs.nvidia.com/mma1z00ns400t</t>
        </is>
      </c>
    </row>
    <row r="18">
      <c r="A18" t="inlineStr">
        <is>
          <t>MMS1X00-NS400</t>
        </is>
      </c>
      <c r="B18" t="inlineStr">
        <is>
          <t>—</t>
        </is>
      </c>
      <c r="C18" t="inlineStr">
        <is>
          <t>active</t>
        </is>
      </c>
      <c r="D18" t="inlineStr">
        <is>
          <t>MMS1X00-NS400</t>
        </is>
      </c>
      <c r="E18" t="inlineStr">
        <is>
          <t>980-9I068-00NM00</t>
        </is>
      </c>
      <c r="F18" t="inlineStr">
        <is>
          <t>400G</t>
        </is>
      </c>
      <c r="G18" t="inlineStr">
        <is>
          <t>QSFP112</t>
        </is>
      </c>
      <c r="H18" t="inlineStr">
        <is>
          <t>1x 400Gb/s MPO-12/APC</t>
        </is>
      </c>
      <c r="I18" t="inlineStr">
        <is>
          <t>SM</t>
        </is>
      </c>
      <c r="J18" t="inlineStr">
        <is>
          <t>max 500 m, ordering_descriptionax 100 m</t>
        </is>
      </c>
      <c r="K18" t="inlineStr">
        <is>
          <t>IB/ETH</t>
        </is>
      </c>
      <c r="L18" t="inlineStr">
        <is>
          <t>NVIDIA MMS1X00-NS400 400Gb/s Single-port QSFP112 Single Mode Transceivers Product Specifications</t>
        </is>
      </c>
      <c r="M18" s="6" t="inlineStr">
        <is>
          <t>https://networking-docs.nvidia.com/mms1x00ns400</t>
        </is>
      </c>
    </row>
    <row r="19">
      <c r="A19" t="inlineStr">
        <is>
          <t>MMS1V70-CM</t>
        </is>
      </c>
      <c r="B19" t="inlineStr">
        <is>
          <t>—</t>
        </is>
      </c>
      <c r="C19" t="inlineStr">
        <is>
          <t>active</t>
        </is>
      </c>
      <c r="D19" t="inlineStr">
        <is>
          <t>MMS1V70-CM</t>
        </is>
      </c>
      <c r="E19" t="inlineStr">
        <is>
          <t>980-9I042-00C000</t>
        </is>
      </c>
      <c r="F19" t="inlineStr">
        <is>
          <t>100G</t>
        </is>
      </c>
      <c r="G19" t="inlineStr">
        <is>
          <t>QSFP28</t>
        </is>
      </c>
      <c r="H19" t="inlineStr">
        <is>
          <t>1x 100Gb/s LC duplex</t>
        </is>
      </c>
      <c r="I19" t="inlineStr">
        <is>
          <t>SM</t>
        </is>
      </c>
      <c r="J19" t="inlineStr">
        <is>
          <t>max 500 m</t>
        </is>
      </c>
      <c r="K19" t="inlineStr">
        <is>
          <t>ETH</t>
        </is>
      </c>
      <c r="L19" t="inlineStr">
        <is>
          <t>MMS1V70-CM 100GbE QSFP28 DR1</t>
        </is>
      </c>
      <c r="M19" s="6" t="inlineStr">
        <is>
          <t>https://networking-docs.nvidia.com/mms1v70cm10</t>
        </is>
      </c>
    </row>
    <row r="20">
      <c r="A20" t="inlineStr">
        <is>
          <t>MMA1B00-C100D</t>
        </is>
      </c>
      <c r="B20" t="inlineStr">
        <is>
          <t>—</t>
        </is>
      </c>
      <c r="C20" t="inlineStr">
        <is>
          <t>active</t>
        </is>
      </c>
      <c r="D20" t="inlineStr">
        <is>
          <t>MMA1B00-C100D</t>
        </is>
      </c>
      <c r="E20" t="inlineStr">
        <is>
          <t>980-9I149-00CS00</t>
        </is>
      </c>
      <c r="F20" t="inlineStr">
        <is>
          <t>100G</t>
        </is>
      </c>
      <c r="G20" t="inlineStr">
        <is>
          <t>QSFP28</t>
        </is>
      </c>
      <c r="H20" t="inlineStr">
        <is>
          <t>1x 100Gb/s MPO-12/UPC</t>
        </is>
      </c>
      <c r="I20" t="inlineStr">
        <is>
          <t>MM</t>
        </is>
      </c>
      <c r="J20" t="inlineStr">
        <is>
          <t>OM3 70 m, OM4 100 m, max 100 m</t>
        </is>
      </c>
      <c r="K20" t="inlineStr">
        <is>
          <t>ETH</t>
        </is>
      </c>
      <c r="L20" t="inlineStr">
        <is>
          <t>MMA1B00-C100D 100GbE QSFP28 MMF SR4</t>
        </is>
      </c>
      <c r="M20" s="6" t="inlineStr">
        <is>
          <t>https://networking-docs.nvidia.com/mma1b00c100dspec</t>
        </is>
      </c>
    </row>
    <row r="21">
      <c r="A21" t="inlineStr">
        <is>
          <t>MMS4C10-XM800</t>
        </is>
      </c>
      <c r="B21" t="inlineStr">
        <is>
          <t>RHS/FRO Gen2</t>
        </is>
      </c>
      <c r="C21" t="inlineStr">
        <is>
          <t>prototype</t>
        </is>
      </c>
      <c r="D21" t="inlineStr">
        <is>
          <t>—</t>
        </is>
      </c>
      <c r="E21" t="inlineStr">
        <is>
          <t>980-9IAY0-00XM00</t>
        </is>
      </c>
      <c r="F21" t="inlineStr">
        <is>
          <t>800G</t>
        </is>
      </c>
      <c r="G21" t="inlineStr">
        <is>
          <t>OSFP-flattop</t>
        </is>
      </c>
      <c r="H21" t="inlineStr">
        <is>
          <t>1x 800Gb/s MPO-12/APC</t>
        </is>
      </c>
      <c r="I21" t="inlineStr">
        <is>
          <t>SM</t>
        </is>
      </c>
      <c r="J21" t="inlineStr">
        <is>
          <t>max 500 m</t>
        </is>
      </c>
      <c r="K21" t="inlineStr">
        <is>
          <t>IB/ETH</t>
        </is>
      </c>
      <c r="L21" t="inlineStr">
        <is>
          <t>NVIDIA MMS4C10-XM800 800Gbps, 2xDR4, Twin-port OSFP, 2xMPO (APC), 1310nm Single Mode Transceiver</t>
        </is>
      </c>
      <c r="M21" s="6" t="inlineStr">
        <is>
          <t>https://networking-docs.nvidia.com/mms4c1x800</t>
        </is>
      </c>
    </row>
    <row r="22">
      <c r="A22" t="inlineStr">
        <is>
          <t>MMS4X00-NM-T</t>
        </is>
      </c>
      <c r="B22" t="inlineStr">
        <is>
          <t>—</t>
        </is>
      </c>
      <c r="C22" t="inlineStr">
        <is>
          <t>active</t>
        </is>
      </c>
      <c r="D22" t="inlineStr">
        <is>
          <t>MMS4X00-NM-T</t>
        </is>
      </c>
      <c r="E22" t="inlineStr">
        <is>
          <t>980-9I30G-F4NM00</t>
        </is>
      </c>
      <c r="F22" t="inlineStr">
        <is>
          <t>800G</t>
        </is>
      </c>
      <c r="G22" t="inlineStr">
        <is>
          <t>OSFP-finned</t>
        </is>
      </c>
      <c r="H22" t="inlineStr">
        <is>
          <t>2x 400Gb/s MPO-12/APC</t>
        </is>
      </c>
      <c r="I22" t="inlineStr">
        <is>
          <t>SM</t>
        </is>
      </c>
      <c r="J22" t="inlineStr">
        <is>
          <t>max 500 m</t>
        </is>
      </c>
      <c r="K22" t="inlineStr">
        <is>
          <t>ETH</t>
        </is>
      </c>
      <c r="L22" t="inlineStr">
        <is>
          <t>MMS4X00-NM-T 800Gbps Twin-port OSFP 2x400Gb/s Single Mode 500m</t>
        </is>
      </c>
      <c r="M22" s="6" t="inlineStr">
        <is>
          <t>https://networking-docs.nvidia.com/mms4x00nmt800g</t>
        </is>
      </c>
    </row>
    <row r="23">
      <c r="A23" t="inlineStr">
        <is>
          <t>MMS4X00-NM</t>
        </is>
      </c>
      <c r="B23" t="inlineStr">
        <is>
          <t>finned</t>
        </is>
      </c>
      <c r="C23" t="inlineStr">
        <is>
          <t>active</t>
        </is>
      </c>
      <c r="D23" t="inlineStr">
        <is>
          <t>MMS4X00-NM</t>
        </is>
      </c>
      <c r="E23" t="inlineStr">
        <is>
          <t>980-9I30G-00NM00</t>
        </is>
      </c>
      <c r="F23" t="inlineStr">
        <is>
          <t>800G</t>
        </is>
      </c>
      <c r="G23" t="inlineStr">
        <is>
          <t>OSFP-finned</t>
        </is>
      </c>
      <c r="H23" t="inlineStr">
        <is>
          <t>2x 400Gb/s MPO-12/APC</t>
        </is>
      </c>
      <c r="I23" t="inlineStr">
        <is>
          <t>SM</t>
        </is>
      </c>
      <c r="J23" t="inlineStr">
        <is>
          <t>max 500 m</t>
        </is>
      </c>
      <c r="K23" t="inlineStr">
        <is>
          <t>IB/ETH</t>
        </is>
      </c>
      <c r="L23" t="inlineStr">
        <is>
          <t>MMS4X00-NM 800Gbps Twin-port OSFP 2x400Gb/s InfiniBand and Ethernet Single Mode 2xDR4 500m</t>
        </is>
      </c>
      <c r="M23" s="6" t="inlineStr">
        <is>
          <t>https://networking-docs.nvidia.com/mms4x00nm800g500m</t>
        </is>
      </c>
    </row>
    <row r="24">
      <c r="A24" t="inlineStr">
        <is>
          <t>MMS4X00-NM-FLT</t>
        </is>
      </c>
      <c r="B24" t="inlineStr">
        <is>
          <t>flat-top</t>
        </is>
      </c>
      <c r="C24" t="inlineStr">
        <is>
          <t>active</t>
        </is>
      </c>
      <c r="D24" t="inlineStr">
        <is>
          <t>MMS4X00-NM-FLT</t>
        </is>
      </c>
      <c r="E24" t="inlineStr">
        <is>
          <t>980-9I301-00NM00</t>
        </is>
      </c>
      <c r="F24" t="inlineStr">
        <is>
          <t>800G</t>
        </is>
      </c>
      <c r="G24" t="inlineStr">
        <is>
          <t>OSFP-flattop</t>
        </is>
      </c>
      <c r="H24" t="inlineStr">
        <is>
          <t>2x 400Gb/s MPO-12/APC</t>
        </is>
      </c>
      <c r="I24" t="inlineStr">
        <is>
          <t>SM</t>
        </is>
      </c>
      <c r="J24" t="inlineStr">
        <is>
          <t>max 500 m</t>
        </is>
      </c>
      <c r="K24" t="inlineStr">
        <is>
          <t>IB/ETH</t>
        </is>
      </c>
      <c r="L24" t="inlineStr">
        <is>
          <t>MMS4X00-NM 800Gbps Twin-port OSFP 2x400Gb/s InfiniBand and Ethernet Single Mode 2xDR4 500m</t>
        </is>
      </c>
      <c r="M24" s="6" t="inlineStr">
        <is>
          <t>https://networking-docs.nvidia.com/mms4x00nm800g500m</t>
        </is>
      </c>
    </row>
    <row r="25">
      <c r="A25" t="inlineStr">
        <is>
          <t>MMS4X50-NM</t>
        </is>
      </c>
      <c r="B25" t="inlineStr">
        <is>
          <t>—</t>
        </is>
      </c>
      <c r="C25" t="inlineStr">
        <is>
          <t>active</t>
        </is>
      </c>
      <c r="D25" t="inlineStr">
        <is>
          <t>—</t>
        </is>
      </c>
      <c r="E25" t="inlineStr">
        <is>
          <t>980-9I30L-00N000</t>
        </is>
      </c>
      <c r="F25" t="inlineStr">
        <is>
          <t>800G</t>
        </is>
      </c>
      <c r="G25" t="inlineStr">
        <is>
          <t>OSFP-finned</t>
        </is>
      </c>
      <c r="H25" t="inlineStr">
        <is>
          <t>2x 400Gb/s Duplex LC</t>
        </is>
      </c>
      <c r="I25" t="inlineStr">
        <is>
          <t>SM</t>
        </is>
      </c>
      <c r="J25" t="inlineStr">
        <is>
          <t>max 2000 m</t>
        </is>
      </c>
      <c r="K25" t="inlineStr">
        <is>
          <t>IB/ETH</t>
        </is>
      </c>
      <c r="L25" t="inlineStr">
        <is>
          <t>MMS4X50-NM 800Gbps Twin-port OSFP 2xFR4, 2x400Gb/s Single Mode, 2km</t>
        </is>
      </c>
      <c r="M25" s="6" t="inlineStr">
        <is>
          <t>https://networking-docs.nvidia.com/mms4x50nm800g2kmpub</t>
        </is>
      </c>
    </row>
    <row r="26">
      <c r="A26" t="inlineStr">
        <is>
          <t>MMS4X00-NS</t>
        </is>
      </c>
      <c r="B26" t="inlineStr">
        <is>
          <t>finned</t>
        </is>
      </c>
      <c r="C26" t="inlineStr">
        <is>
          <t>active</t>
        </is>
      </c>
      <c r="D26" t="inlineStr">
        <is>
          <t>MMS4X00-NS</t>
        </is>
      </c>
      <c r="E26" t="inlineStr">
        <is>
          <t>980-9I30H-00NM00</t>
        </is>
      </c>
      <c r="F26" t="inlineStr">
        <is>
          <t>800G</t>
        </is>
      </c>
      <c r="G26" t="inlineStr">
        <is>
          <t>OSFP-finned</t>
        </is>
      </c>
      <c r="H26" t="inlineStr">
        <is>
          <t>2x 400Gb/s MPO-12/APC</t>
        </is>
      </c>
      <c r="I26" t="inlineStr">
        <is>
          <t>SM</t>
        </is>
      </c>
      <c r="J26" t="inlineStr">
        <is>
          <t>max 100 m</t>
        </is>
      </c>
      <c r="K26" t="inlineStr">
        <is>
          <t>IB/ETH</t>
        </is>
      </c>
      <c r="L26" t="inlineStr">
        <is>
          <t>MMS4X00-NS 800Gbps Twin-port OSFP 2x400Gb/s Single Mode 2xDR4 100m</t>
        </is>
      </c>
      <c r="M26" s="6" t="inlineStr">
        <is>
          <t>https://networking-docs.nvidia.com/800gmms4x00ns</t>
        </is>
      </c>
    </row>
    <row r="27">
      <c r="A27" t="inlineStr">
        <is>
          <t>MMS4X00-NS-FLT</t>
        </is>
      </c>
      <c r="B27" t="inlineStr">
        <is>
          <t>flat-top</t>
        </is>
      </c>
      <c r="C27" t="inlineStr">
        <is>
          <t>active</t>
        </is>
      </c>
      <c r="D27" t="inlineStr">
        <is>
          <t>MMS4X00-NS-FLT</t>
        </is>
      </c>
      <c r="E27" t="inlineStr">
        <is>
          <t>980-9I30I-00NM00</t>
        </is>
      </c>
      <c r="F27" t="inlineStr">
        <is>
          <t>800G</t>
        </is>
      </c>
      <c r="G27" t="inlineStr">
        <is>
          <t>OSFP-flattop</t>
        </is>
      </c>
      <c r="H27" t="inlineStr">
        <is>
          <t>2x 400Gb/s MPO-12/APC</t>
        </is>
      </c>
      <c r="I27" t="inlineStr">
        <is>
          <t>SM</t>
        </is>
      </c>
      <c r="J27" t="inlineStr">
        <is>
          <t>max 100 m</t>
        </is>
      </c>
      <c r="K27" t="inlineStr">
        <is>
          <t>IB/ETH</t>
        </is>
      </c>
      <c r="L27" t="inlineStr">
        <is>
          <t>MMS4X00-NS 800Gbps Twin-port OSFP 2x400Gb/s Single Mode 2xDR4 100m</t>
        </is>
      </c>
      <c r="M27" s="6" t="inlineStr">
        <is>
          <t>https://networking-docs.nvidia.com/800gmms4x00ns</t>
        </is>
      </c>
    </row>
    <row r="28">
      <c r="A28" t="inlineStr">
        <is>
          <t>MMA4Z00-NS-T</t>
        </is>
      </c>
      <c r="B28" t="inlineStr">
        <is>
          <t>—</t>
        </is>
      </c>
      <c r="C28" t="inlineStr">
        <is>
          <t>active</t>
        </is>
      </c>
      <c r="D28" t="inlineStr">
        <is>
          <t>MMA4Z00-NS-T</t>
        </is>
      </c>
      <c r="E28" t="inlineStr">
        <is>
          <t>980-9I510-F4NS00</t>
        </is>
      </c>
      <c r="F28" t="inlineStr">
        <is>
          <t>800G</t>
        </is>
      </c>
      <c r="G28" t="inlineStr">
        <is>
          <t>OSFP-finned</t>
        </is>
      </c>
      <c r="H28" t="inlineStr">
        <is>
          <t>2x 400Gb/s MPO-12/APC</t>
        </is>
      </c>
      <c r="I28" t="inlineStr">
        <is>
          <t>MM</t>
        </is>
      </c>
      <c r="J28" t="inlineStr">
        <is>
          <t>OM3 30 m, OM4 50 m, max 50 m</t>
        </is>
      </c>
      <c r="K28" t="inlineStr">
        <is>
          <t>ETH</t>
        </is>
      </c>
      <c r="L28" t="inlineStr">
        <is>
          <t>MMA4Z00-NS-T 800Gb/s Twin-port OSFP, 2x400Gb/s Multimode, 50m</t>
        </is>
      </c>
      <c r="M28" s="6" t="inlineStr">
        <is>
          <t>https://networking-docs.nvidia.com/800gmma4z00nst</t>
        </is>
      </c>
    </row>
    <row r="29">
      <c r="A29" t="inlineStr">
        <is>
          <t>MMS4X00-NS-T</t>
        </is>
      </c>
      <c r="B29" t="inlineStr">
        <is>
          <t>—</t>
        </is>
      </c>
      <c r="C29" t="inlineStr">
        <is>
          <t>active</t>
        </is>
      </c>
      <c r="D29" t="inlineStr">
        <is>
          <t>MMS4X00-NS-T</t>
        </is>
      </c>
      <c r="E29" t="inlineStr">
        <is>
          <t>980-9I30H-F4NM00</t>
        </is>
      </c>
      <c r="F29" t="inlineStr">
        <is>
          <t>800G</t>
        </is>
      </c>
      <c r="G29" t="inlineStr">
        <is>
          <t>OSFP-finned</t>
        </is>
      </c>
      <c r="H29" t="inlineStr">
        <is>
          <t>2x 400Gb/s MPO-12/APC</t>
        </is>
      </c>
      <c r="I29" t="inlineStr">
        <is>
          <t>SM</t>
        </is>
      </c>
      <c r="J29" t="inlineStr">
        <is>
          <t>max 100 m</t>
        </is>
      </c>
      <c r="K29" t="inlineStr">
        <is>
          <t>ETH</t>
        </is>
      </c>
      <c r="L29" t="inlineStr">
        <is>
          <t>MMS4X00-NS-T 800Gbps Twin-port OSFP 2x400Gb/s Single Mode 100m</t>
        </is>
      </c>
      <c r="M29" s="6" t="inlineStr">
        <is>
          <t>https://networking-docs.nvidia.com/800gmms4x00nst</t>
        </is>
      </c>
    </row>
    <row r="30">
      <c r="A30" t="inlineStr">
        <is>
          <t>MMS4A20</t>
        </is>
      </c>
      <c r="B30" t="inlineStr">
        <is>
          <t>RHS</t>
        </is>
      </c>
      <c r="C30" t="inlineStr">
        <is>
          <t>active</t>
        </is>
      </c>
      <c r="D30" t="inlineStr">
        <is>
          <t>—</t>
        </is>
      </c>
      <c r="E30" t="inlineStr">
        <is>
          <t>980-9IAT0-00XM00</t>
        </is>
      </c>
      <c r="F30" t="inlineStr">
        <is>
          <t>800G</t>
        </is>
      </c>
      <c r="G30" t="inlineStr">
        <is>
          <t>OSFP-flattop</t>
        </is>
      </c>
      <c r="H30" t="inlineStr">
        <is>
          <t>1x 800Gb/s MPO-12/APC</t>
        </is>
      </c>
      <c r="I30" t="inlineStr">
        <is>
          <t>SM</t>
        </is>
      </c>
      <c r="J30" t="inlineStr">
        <is>
          <t>max 500 m</t>
        </is>
      </c>
      <c r="K30" t="inlineStr">
        <is>
          <t>IB</t>
        </is>
      </c>
      <c r="L30" t="inlineStr">
        <is>
          <t>NVIDIA MMS4A20 800Gbps, DR4 Single-port OSFP, MPO, 1310nm Single Mode, RHS (500m) Transceiver</t>
        </is>
      </c>
      <c r="M30" s="6" t="inlineStr">
        <is>
          <t>https://networking-docs.nvidia.com/9iat0mosfp800sprhs</t>
        </is>
      </c>
    </row>
    <row r="31">
      <c r="A31" t="inlineStr">
        <is>
          <t>MMS4X00-NM16</t>
        </is>
      </c>
      <c r="B31" t="inlineStr">
        <is>
          <t>—</t>
        </is>
      </c>
      <c r="C31" t="inlineStr">
        <is>
          <t>active</t>
        </is>
      </c>
      <c r="D31" t="inlineStr">
        <is>
          <t>MMS4X00-NM16</t>
        </is>
      </c>
      <c r="E31" t="inlineStr">
        <is>
          <t>980-9I30J-F4NM00</t>
        </is>
      </c>
      <c r="F31" t="inlineStr">
        <is>
          <t>800G</t>
        </is>
      </c>
      <c r="G31" t="inlineStr">
        <is>
          <t>OSFP-finned</t>
        </is>
      </c>
      <c r="H31" t="inlineStr">
        <is>
          <t>1x 800Gb/s MPO-16/APC</t>
        </is>
      </c>
      <c r="I31" t="inlineStr">
        <is>
          <t>SM</t>
        </is>
      </c>
      <c r="J31" t="inlineStr">
        <is>
          <t>max 500 m</t>
        </is>
      </c>
      <c r="K31" t="inlineStr">
        <is>
          <t>ETH</t>
        </is>
      </c>
      <c r="L31" t="inlineStr">
        <is>
          <t>MMS4X00-NM16 NVIDIA Ethernet 800Gbps OSFP Twin-port Finned Transceiver OSFP 1xMPO16 1310nm SMF up to 500m</t>
        </is>
      </c>
      <c r="M31" s="6" t="inlineStr">
        <is>
          <t>https://networking-docs.nvidia.com/mms4x00nm16</t>
        </is>
      </c>
    </row>
    <row r="32">
      <c r="A32" t="inlineStr">
        <is>
          <t>MMS4X00-NM-HGX</t>
        </is>
      </c>
      <c r="B32" t="inlineStr">
        <is>
          <t>HGX Rubin NVL8</t>
        </is>
      </c>
      <c r="C32" t="inlineStr">
        <is>
          <t>active</t>
        </is>
      </c>
      <c r="D32" t="inlineStr">
        <is>
          <t>MMS4X00-NM-HGX</t>
        </is>
      </c>
      <c r="E32" t="inlineStr">
        <is>
          <t>980-9I302-00NM00</t>
        </is>
      </c>
      <c r="F32" t="inlineStr">
        <is>
          <t>800G</t>
        </is>
      </c>
      <c r="G32" t="inlineStr">
        <is>
          <t>OSFP-flattop</t>
        </is>
      </c>
      <c r="H32" t="inlineStr">
        <is>
          <t>2x 400Gb/s MPO-12/APC</t>
        </is>
      </c>
      <c r="I32" t="inlineStr">
        <is>
          <t>SM</t>
        </is>
      </c>
      <c r="J32" t="inlineStr">
        <is>
          <t>max 500 m</t>
        </is>
      </c>
      <c r="K32" t="inlineStr">
        <is>
          <t>IB/ETH/NVL</t>
        </is>
      </c>
      <c r="L32" t="inlineStr">
        <is>
          <t>MMS4X00-NM-HGX 800Gbps Twin-port OSFP 2x400Gb/s InfiniBand and Ethernet Single Mode 2xDR4 500m</t>
        </is>
      </c>
      <c r="M32" s="6" t="inlineStr">
        <is>
          <t>https://networking-docs.nvidia.com/mms4x00nmhgx500</t>
        </is>
      </c>
    </row>
    <row r="33">
      <c r="A33" t="inlineStr">
        <is>
          <t>MMS4X90-NR</t>
        </is>
      </c>
      <c r="B33" t="inlineStr">
        <is>
          <t>—</t>
        </is>
      </c>
      <c r="C33" t="inlineStr">
        <is>
          <t>active</t>
        </is>
      </c>
      <c r="D33" t="inlineStr">
        <is>
          <t>—</t>
        </is>
      </c>
      <c r="E33" t="inlineStr">
        <is>
          <t>—</t>
        </is>
      </c>
      <c r="F33" t="inlineStr">
        <is>
          <t>800G</t>
        </is>
      </c>
      <c r="G33" t="inlineStr">
        <is>
          <t>OSFP-finned</t>
        </is>
      </c>
      <c r="H33" t="inlineStr">
        <is>
          <t>2x 400Gb/s Duplex LC</t>
        </is>
      </c>
      <c r="I33" t="inlineStr">
        <is>
          <t>SM</t>
        </is>
      </c>
      <c r="J33" t="inlineStr">
        <is>
          <t>max 10000 m</t>
        </is>
      </c>
      <c r="K33" t="inlineStr">
        <is>
          <t>IB/ETH</t>
        </is>
      </c>
      <c r="L33" t="inlineStr">
        <is>
          <t>MMS4X90-NR 800Gbps, 2xLR4, OSFP, 2xLC-LC, 1310nm SMF, Finned Twin-port Transceiver (up to 10km)</t>
        </is>
      </c>
      <c r="M33" s="6" t="inlineStr">
        <is>
          <t>https://networking-docs.nvidia.com/mms4x90nr800g</t>
        </is>
      </c>
    </row>
    <row r="34">
      <c r="A34" t="inlineStr">
        <is>
          <t>MMS1W50-HM</t>
        </is>
      </c>
      <c r="B34" t="inlineStr">
        <is>
          <t>—</t>
        </is>
      </c>
      <c r="C34" t="inlineStr">
        <is>
          <t>active</t>
        </is>
      </c>
      <c r="D34" t="inlineStr">
        <is>
          <t>—</t>
        </is>
      </c>
      <c r="E34" t="inlineStr">
        <is>
          <t>MMS1W50-HM</t>
        </is>
      </c>
      <c r="F34" t="inlineStr">
        <is>
          <t>200G</t>
        </is>
      </c>
      <c r="G34" t="inlineStr">
        <is>
          <t>QSFP56</t>
        </is>
      </c>
      <c r="H34" t="inlineStr">
        <is>
          <t>1x 200Gb/s Duplex LC/UPC</t>
        </is>
      </c>
      <c r="I34" t="inlineStr">
        <is>
          <t>SM</t>
        </is>
      </c>
      <c r="J34" t="inlineStr">
        <is>
          <t>max 2000 m</t>
        </is>
      </c>
      <c r="K34" t="inlineStr">
        <is>
          <t>IB</t>
        </is>
      </c>
      <c r="L34" t="inlineStr">
        <is>
          <t>MMS1W50-HM 200Gb/s QSFP56 FR4</t>
        </is>
      </c>
      <c r="M34" s="6" t="inlineStr">
        <is>
          <t>https://networking-docs.nvidia.com/mms1w50hmspec</t>
        </is>
      </c>
    </row>
    <row r="35">
      <c r="A35" t="inlineStr">
        <is>
          <t>MMA2P00-AS</t>
        </is>
      </c>
      <c r="B35" t="inlineStr">
        <is>
          <t>—</t>
        </is>
      </c>
      <c r="C35" t="inlineStr">
        <is>
          <t>active</t>
        </is>
      </c>
      <c r="D35" t="inlineStr">
        <is>
          <t>—</t>
        </is>
      </c>
      <c r="E35" t="inlineStr">
        <is>
          <t>MMA2P00-AS</t>
        </is>
      </c>
      <c r="F35" t="inlineStr">
        <is>
          <t>25G</t>
        </is>
      </c>
      <c r="G35" t="inlineStr">
        <is>
          <t>SFP28</t>
        </is>
      </c>
      <c r="H35" t="inlineStr">
        <is>
          <t>1x 25Gb/s Duplex LC/UPC</t>
        </is>
      </c>
      <c r="I35" t="inlineStr">
        <is>
          <t>MM</t>
        </is>
      </c>
      <c r="J35" t="inlineStr">
        <is>
          <t>OM3 70 m, OM4 100 m, max 100 m</t>
        </is>
      </c>
      <c r="K35" t="inlineStr">
        <is>
          <t>ETH</t>
        </is>
      </c>
      <c r="L35" t="inlineStr">
        <is>
          <t>MMA2P00-AS 25GbE SFP28 MMF Transceiver Product Specifications</t>
        </is>
      </c>
      <c r="M35" s="6" t="inlineStr">
        <is>
          <t>https://networking-docs.nvidia.com/mma2p00asspec</t>
        </is>
      </c>
    </row>
  </sheetData>
  <autoFilter ref="A1:M3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60" customWidth="1" min="4" max="4"/>
    <col width="60" customWidth="1" min="5" max="5"/>
    <col width="10" customWidth="1" min="6" max="6"/>
    <col width="26" customWidth="1" min="7" max="7"/>
    <col width="31" customWidth="1" min="8" max="8"/>
    <col width="10" customWidth="1" min="9" max="9"/>
    <col width="11" customWidth="1" min="10" max="10"/>
    <col width="10" customWidth="1" min="11" max="11"/>
    <col width="60" customWidth="1" min="12" max="12"/>
    <col width="51" customWidth="1" min="13" max="13"/>
  </cols>
  <sheetData>
    <row r="1">
      <c r="A1" s="5" t="inlineStr">
        <is>
          <t>Model</t>
        </is>
      </c>
      <c r="B1" s="5" t="inlineStr">
        <is>
          <t>Variant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Form factor</t>
        </is>
      </c>
      <c r="H1" s="5" t="inlineStr">
        <is>
          <t>Interfaces</t>
        </is>
      </c>
      <c r="I1" s="5" t="inlineStr">
        <is>
          <t>Medium</t>
        </is>
      </c>
      <c r="J1" s="5" t="inlineStr">
        <is>
          <t>Reach</t>
        </is>
      </c>
      <c r="K1" s="5" t="inlineStr">
        <is>
          <t>Fabric</t>
        </is>
      </c>
      <c r="L1" s="5" t="inlineStr">
        <is>
          <t>Description</t>
        </is>
      </c>
      <c r="M1" s="5" t="inlineStr">
        <is>
          <t>Link</t>
        </is>
      </c>
    </row>
    <row r="2">
      <c r="A2" t="inlineStr">
        <is>
          <t>MFA7U10-H00x</t>
        </is>
      </c>
      <c r="B2" t="inlineStr">
        <is>
          <t>finned OSFP head</t>
        </is>
      </c>
      <c r="C2" t="inlineStr">
        <is>
          <t>active</t>
        </is>
      </c>
      <c r="D2" t="inlineStr">
        <is>
          <t>MFA7U10-H003 / MFA7U10-H005 / MFA7U10-H010 / MFA7U10-H015 / MFA7U10-H020 / MFA7U10-H030</t>
        </is>
      </c>
      <c r="E2" t="inlineStr">
        <is>
          <t>980-9I41X-00H003, 980-9I11Z-00H005, 980-9I111-00H010, 980-9I113-00H015, 980-9I115-00H020, 980-9I117-00H030</t>
        </is>
      </c>
      <c r="F2" t="inlineStr">
        <is>
          <t>400G</t>
        </is>
      </c>
      <c r="G2" t="inlineStr">
        <is>
          <t>OSFP-finned -&gt; 2xQSFP56</t>
        </is>
      </c>
      <c r="H2" t="inlineStr">
        <is>
          <t>2x 2x200Gb/s OSFP to 2xQSFP56</t>
        </is>
      </c>
      <c r="I2" t="inlineStr">
        <is>
          <t>MM</t>
        </is>
      </c>
      <c r="J2" t="inlineStr">
        <is>
          <t>max 30 m</t>
        </is>
      </c>
      <c r="K2" t="inlineStr">
        <is>
          <t>IB/ETH</t>
        </is>
      </c>
      <c r="L2" t="inlineStr">
        <is>
          <t>MFA7U10-H00x 400Gb/s OSFP to 2x200Gb/s QSFP56 HDR Active Optical Splitter Cable</t>
        </is>
      </c>
      <c r="M2" s="6" t="inlineStr">
        <is>
          <t>https://networking-docs.nvidia.com/mfa7u10h00x10</t>
        </is>
      </c>
    </row>
    <row r="3">
      <c r="A3" t="inlineStr">
        <is>
          <t>MFA7U10-H00x-FLT</t>
        </is>
      </c>
      <c r="B3" t="inlineStr">
        <is>
          <t>flat-top OSFP head</t>
        </is>
      </c>
      <c r="C3" t="inlineStr">
        <is>
          <t>active</t>
        </is>
      </c>
      <c r="D3" t="inlineStr">
        <is>
          <t>MFA7U10-H003-FLT / MFA7U10-H005-FLT / MFA7U10-H010-FLT / MFA7U10-H015-FLT / MFA7U10-H020-FLT / MFA7U10-H030-FLT</t>
        </is>
      </c>
      <c r="E3" t="inlineStr">
        <is>
          <t>980-9I41Y-00H003, 980-9I110-00H005, 980-9I112-00H010, 980-9I114-00H015, 980-9I116-00H020, 980-9I118-00H030</t>
        </is>
      </c>
      <c r="F3" t="inlineStr">
        <is>
          <t>400G</t>
        </is>
      </c>
      <c r="G3" t="inlineStr">
        <is>
          <t>OSFP-flattop -&gt; 2xQSFP56</t>
        </is>
      </c>
      <c r="H3" t="inlineStr">
        <is>
          <t>2x 2x200Gb/s OSFP to 2xQSFP56</t>
        </is>
      </c>
      <c r="I3" t="inlineStr">
        <is>
          <t>MM</t>
        </is>
      </c>
      <c r="J3" t="inlineStr">
        <is>
          <t>max 30 m</t>
        </is>
      </c>
      <c r="K3" t="inlineStr">
        <is>
          <t>IB/ETH</t>
        </is>
      </c>
      <c r="L3" t="inlineStr">
        <is>
          <t>MFA7U10-H00x 400Gb/s OSFP to 2x200Gb/s QSFP56 HDR Active Optical Splitter Cable</t>
        </is>
      </c>
      <c r="M3" s="6" t="inlineStr">
        <is>
          <t>https://networking-docs.nvidia.com/mfa7u10h00x10</t>
        </is>
      </c>
    </row>
    <row r="4">
      <c r="A4" t="inlineStr">
        <is>
          <t>MFS1S00-HxxxV</t>
        </is>
      </c>
      <c r="B4" t="inlineStr">
        <is>
          <t>—</t>
        </is>
      </c>
      <c r="C4" t="inlineStr">
        <is>
          <t>active</t>
        </is>
      </c>
      <c r="D4" t="inlineStr">
        <is>
          <t>MFS1S00-H003V / MFS1S00-H005V / MFS1S00-H010V / MFS1S00-H015V / MFS1S00-H020V / MFS1S00-H030V / MFS1S00-H050V / MFS1S00-H100V</t>
        </is>
      </c>
      <c r="E4" t="inlineStr">
        <is>
          <t>980-9I457-00H003, 980-9I45D-00H005, 980-9I45J-00H010, 980-9I45O-00H015, 980-9I45T-00H020, 980-9I440-00H030, 980-9I447-00H050, 980-9I44H-00H100</t>
        </is>
      </c>
      <c r="F4" t="inlineStr">
        <is>
          <t>200G</t>
        </is>
      </c>
      <c r="G4" t="inlineStr">
        <is>
          <t>QSFP56</t>
        </is>
      </c>
      <c r="H4" t="inlineStr">
        <is>
          <t>1x 200Gb/s QSFP56 to QSFP56</t>
        </is>
      </c>
      <c r="I4" t="inlineStr">
        <is>
          <t>MM</t>
        </is>
      </c>
      <c r="J4" t="inlineStr">
        <is>
          <t>max 100 m</t>
        </is>
      </c>
      <c r="K4" t="inlineStr">
        <is>
          <t>IB/ETH</t>
        </is>
      </c>
      <c r="L4" t="inlineStr">
        <is>
          <t>MFS1S00-HxxxV 200Gb/s QSFP56 MMF AOC Product Specifications</t>
        </is>
      </c>
      <c r="M4" s="6" t="inlineStr">
        <is>
          <t>https://networking-docs.nvidia.com/mfs1s00hxxxv10</t>
        </is>
      </c>
    </row>
  </sheetData>
  <autoFilter ref="A1:M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59" customWidth="1" min="4" max="4"/>
    <col width="60" customWidth="1" min="5" max="5"/>
    <col width="10" customWidth="1" min="6" max="6"/>
    <col width="32" customWidth="1" min="7" max="7"/>
    <col width="29" customWidth="1" min="8" max="8"/>
    <col width="10" customWidth="1" min="9" max="9"/>
    <col width="11" customWidth="1" min="10" max="10"/>
    <col width="12" customWidth="1" min="11" max="11"/>
    <col width="60" customWidth="1" min="12" max="12"/>
    <col width="59" customWidth="1" min="13" max="13"/>
  </cols>
  <sheetData>
    <row r="1">
      <c r="A1" s="5" t="inlineStr">
        <is>
          <t>Model</t>
        </is>
      </c>
      <c r="B1" s="5" t="inlineStr">
        <is>
          <t>Variant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Form factor</t>
        </is>
      </c>
      <c r="H1" s="5" t="inlineStr">
        <is>
          <t>Interfaces</t>
        </is>
      </c>
      <c r="I1" s="5" t="inlineStr">
        <is>
          <t>Medium</t>
        </is>
      </c>
      <c r="J1" s="5" t="inlineStr">
        <is>
          <t>Reach</t>
        </is>
      </c>
      <c r="K1" s="5" t="inlineStr">
        <is>
          <t>Fabric</t>
        </is>
      </c>
      <c r="L1" s="5" t="inlineStr">
        <is>
          <t>Description</t>
        </is>
      </c>
      <c r="M1" s="5" t="inlineStr">
        <is>
          <t>Link</t>
        </is>
      </c>
    </row>
    <row r="2">
      <c r="A2" t="inlineStr">
        <is>
          <t>MCA4K00</t>
        </is>
      </c>
      <c r="B2" t="inlineStr">
        <is>
          <t>RHS-to-RHS</t>
        </is>
      </c>
      <c r="C2" t="inlineStr">
        <is>
          <t>active</t>
        </is>
      </c>
      <c r="D2" t="inlineStr">
        <is>
          <t>MCA4K00</t>
        </is>
      </c>
      <c r="E2" t="inlineStr">
        <is>
          <t>980-9IAM1-00X001, 980-9IAM2-00X001, 980-9IAM4-00X001</t>
        </is>
      </c>
      <c r="F2" t="inlineStr">
        <is>
          <t>1600G</t>
        </is>
      </c>
      <c r="G2" t="inlineStr">
        <is>
          <t>OSFP-flattop -&gt; OSFP-flattop</t>
        </is>
      </c>
      <c r="H2" t="inlineStr">
        <is>
          <t>1x 1600Gb/s OSFP to OSFP</t>
        </is>
      </c>
      <c r="I2" t="inlineStr">
        <is>
          <t>Copper</t>
        </is>
      </c>
      <c r="J2" t="inlineStr">
        <is>
          <t>max 1.1 m</t>
        </is>
      </c>
      <c r="K2" t="inlineStr">
        <is>
          <t>IB/ETH/NVL</t>
        </is>
      </c>
      <c r="L2" t="inlineStr">
        <is>
          <t>MCA4K00 1600Gbps to 1600Gbps OSFP Active Copper Cable Product Specifications</t>
        </is>
      </c>
      <c r="M2" s="6" t="inlineStr">
        <is>
          <t>https://networking-docs.nvidia.com/mca4k00hw</t>
        </is>
      </c>
    </row>
    <row r="3">
      <c r="A3" t="inlineStr">
        <is>
          <t>MCA4K50</t>
        </is>
      </c>
      <c r="B3" t="inlineStr">
        <is>
          <t>IHS-to-IHS</t>
        </is>
      </c>
      <c r="C3" t="inlineStr">
        <is>
          <t>active</t>
        </is>
      </c>
      <c r="D3" t="inlineStr">
        <is>
          <t>MCA4K50</t>
        </is>
      </c>
      <c r="E3" t="inlineStr">
        <is>
          <t>980-9IAM5-00X001, 980-9IAM5-00X01A, 980-9IAM3-00X002, 980-9IAM3-00X02A, 980-9IAM3-00X003</t>
        </is>
      </c>
      <c r="F3" t="inlineStr">
        <is>
          <t>1600G</t>
        </is>
      </c>
      <c r="G3" t="inlineStr">
        <is>
          <t>OSFP-finned -&gt; OSFP-finned</t>
        </is>
      </c>
      <c r="H3" t="inlineStr">
        <is>
          <t>1x 1600Gb/s OSFP to OSFP</t>
        </is>
      </c>
      <c r="I3" t="inlineStr">
        <is>
          <t>Copper</t>
        </is>
      </c>
      <c r="J3" t="inlineStr">
        <is>
          <t>max 3 m</t>
        </is>
      </c>
      <c r="K3" t="inlineStr">
        <is>
          <t>IB</t>
        </is>
      </c>
      <c r="L3" t="inlineStr">
        <is>
          <t>MCA4K50 1600Gbps to 1600Gbps OSFP Active Copper Cable</t>
        </is>
      </c>
      <c r="M3" s="6" t="inlineStr">
        <is>
          <t>https://networking-docs.nvidia.com/mca4k50osfp1600</t>
        </is>
      </c>
    </row>
    <row r="4">
      <c r="A4" t="inlineStr">
        <is>
          <t>MCA7K10</t>
        </is>
      </c>
      <c r="B4" t="inlineStr">
        <is>
          <t>IHS-to-2xRHS</t>
        </is>
      </c>
      <c r="C4" t="inlineStr">
        <is>
          <t>active</t>
        </is>
      </c>
      <c r="D4" t="inlineStr">
        <is>
          <t>MCA7K10</t>
        </is>
      </c>
      <c r="E4" t="inlineStr">
        <is>
          <t>980-9IAO5-00X001, 980-9IAO5-00X01A, 980-9IAO5-00X002</t>
        </is>
      </c>
      <c r="F4" t="inlineStr">
        <is>
          <t>1600G</t>
        </is>
      </c>
      <c r="G4" t="inlineStr">
        <is>
          <t>OSFP-finned -&gt; 2xOSFP-flattop</t>
        </is>
      </c>
      <c r="H4" t="inlineStr">
        <is>
          <t>2x 2x800Gb/s OSFP to 2xOSFP</t>
        </is>
      </c>
      <c r="I4" t="inlineStr">
        <is>
          <t>Copper</t>
        </is>
      </c>
      <c r="J4" t="inlineStr">
        <is>
          <t>max 2 m</t>
        </is>
      </c>
      <c r="K4" t="inlineStr">
        <is>
          <t>IB/ETH</t>
        </is>
      </c>
      <c r="L4" t="inlineStr">
        <is>
          <t>MCA7K10 1600Gb/s to 2x800Gb/s, OSFP to 2xOSFP, IHS to RHS Active Copper Splitter Cable</t>
        </is>
      </c>
      <c r="M4" s="6" t="inlineStr">
        <is>
          <t>https://networking-docs.nvidia.com/9809iao500xxxxrhs2x800</t>
        </is>
      </c>
    </row>
    <row r="5">
      <c r="A5" t="inlineStr">
        <is>
          <t>MCA4J80-Nxxx</t>
        </is>
      </c>
      <c r="B5" t="inlineStr">
        <is>
          <t>finned</t>
        </is>
      </c>
      <c r="C5" t="inlineStr">
        <is>
          <t>active</t>
        </is>
      </c>
      <c r="D5" t="inlineStr">
        <is>
          <t>MCA4J80-N003 / MCA4J80-N004 / MCA4J80-N005</t>
        </is>
      </c>
      <c r="E5" t="inlineStr">
        <is>
          <t>980-9I60Z-00N003, 980-9I601-00N004, 980-9I602-00N005</t>
        </is>
      </c>
      <c r="F5" t="inlineStr">
        <is>
          <t>800G</t>
        </is>
      </c>
      <c r="G5" t="inlineStr">
        <is>
          <t>OSFP-finned -&gt; OSFP-finned</t>
        </is>
      </c>
      <c r="H5" t="inlineStr">
        <is>
          <t>2x 2x400Gb/s OSFP to OSFP</t>
        </is>
      </c>
      <c r="I5" t="inlineStr">
        <is>
          <t>Copper</t>
        </is>
      </c>
      <c r="J5" t="inlineStr">
        <is>
          <t>max 5 m</t>
        </is>
      </c>
      <c r="K5" t="inlineStr">
        <is>
          <t>IB</t>
        </is>
      </c>
      <c r="L5" t="inlineStr">
        <is>
          <t>MCA4J80-Nxxx 800Gb/s Twin-port OSFP to 2x400Gb/s OSFP InfiniBand ACC Product Specifications</t>
        </is>
      </c>
      <c r="M5" s="6" t="inlineStr">
        <is>
          <t>https://networking-docs.nvidia.com/mca4j80nxxx800pub</t>
        </is>
      </c>
    </row>
    <row r="6">
      <c r="A6" t="inlineStr">
        <is>
          <t>MCA4J80-Nxxx-FLT</t>
        </is>
      </c>
      <c r="B6" t="inlineStr">
        <is>
          <t>flat-top</t>
        </is>
      </c>
      <c r="C6" t="inlineStr">
        <is>
          <t>active</t>
        </is>
      </c>
      <c r="D6" t="inlineStr">
        <is>
          <t>MCA4J80-N003-FLT</t>
        </is>
      </c>
      <c r="E6" t="inlineStr">
        <is>
          <t>980-9I600-00N003</t>
        </is>
      </c>
      <c r="F6" t="inlineStr">
        <is>
          <t>800G</t>
        </is>
      </c>
      <c r="G6" t="inlineStr">
        <is>
          <t>OSFP-flattop -&gt; OSFP-flattop</t>
        </is>
      </c>
      <c r="H6" t="inlineStr">
        <is>
          <t>2x 2x400Gb/s OSFP to OSFP</t>
        </is>
      </c>
      <c r="I6" t="inlineStr">
        <is>
          <t>Copper</t>
        </is>
      </c>
      <c r="J6" t="inlineStr">
        <is>
          <t>max 3 m</t>
        </is>
      </c>
      <c r="K6" t="inlineStr">
        <is>
          <t>IB</t>
        </is>
      </c>
      <c r="L6" t="inlineStr">
        <is>
          <t>MCA4J80-Nxxx 800Gbps Twin-port 2x400Gbps OSFP to 2x400Gbps OSFP InfiniBand LACC</t>
        </is>
      </c>
      <c r="M6" s="6" t="inlineStr">
        <is>
          <t>https://networking-docs.nvidia.com/mca4j80nxxx800pub</t>
        </is>
      </c>
    </row>
    <row r="7">
      <c r="A7" t="inlineStr">
        <is>
          <t>MCA4J80-Nxxx-FTF</t>
        </is>
      </c>
      <c r="B7" t="inlineStr">
        <is>
          <t>flat-to-finned</t>
        </is>
      </c>
      <c r="C7" t="inlineStr">
        <is>
          <t>active</t>
        </is>
      </c>
      <c r="D7" t="inlineStr">
        <is>
          <t>MCA4J80-N003-FTF</t>
        </is>
      </c>
      <c r="E7" t="inlineStr">
        <is>
          <t>980-9I601-00N003</t>
        </is>
      </c>
      <c r="F7" t="inlineStr">
        <is>
          <t>800G</t>
        </is>
      </c>
      <c r="G7" t="inlineStr">
        <is>
          <t>OSFP-flattop -&gt; OSFP-finned</t>
        </is>
      </c>
      <c r="H7" t="inlineStr">
        <is>
          <t>2x 2x400Gb/s OSFP to OSFP</t>
        </is>
      </c>
      <c r="I7" t="inlineStr">
        <is>
          <t>Copper</t>
        </is>
      </c>
      <c r="J7" t="inlineStr">
        <is>
          <t>max 3 m</t>
        </is>
      </c>
      <c r="K7" t="inlineStr">
        <is>
          <t>IB</t>
        </is>
      </c>
      <c r="L7" t="inlineStr">
        <is>
          <t>MCA4J80-Nxxx 800Gbps Twin-port 2x400Gbps OSFP to 2x400Gbps OSFP InfiniBand LACC</t>
        </is>
      </c>
      <c r="M7" s="6" t="inlineStr">
        <is>
          <t>https://networking-docs.nvidia.com/mca4j80nxxx800pub</t>
        </is>
      </c>
    </row>
    <row r="8">
      <c r="A8" t="inlineStr">
        <is>
          <t>MCP4Y10-Nxxx</t>
        </is>
      </c>
      <c r="B8" t="inlineStr">
        <is>
          <t>finned</t>
        </is>
      </c>
      <c r="C8" t="inlineStr">
        <is>
          <t>active</t>
        </is>
      </c>
      <c r="D8" t="inlineStr">
        <is>
          <t>MCP4Y10-N00A / MCP4Y10-N001 / MCP4Y10-N01A / MCP4Y10-N002</t>
        </is>
      </c>
      <c r="E8" t="inlineStr">
        <is>
          <t>980-9IA0K-00N00A, 980-9IA0F-00N001, 980-9IA0Q-00N01A, 980-9IA0I-00N002</t>
        </is>
      </c>
      <c r="F8" t="inlineStr">
        <is>
          <t>800G</t>
        </is>
      </c>
      <c r="G8" t="inlineStr">
        <is>
          <t>OSFP-finned -&gt; OSFP-finned</t>
        </is>
      </c>
      <c r="H8" t="inlineStr">
        <is>
          <t>2x 2x400Gb/s OSFP to OSFP</t>
        </is>
      </c>
      <c r="I8" t="inlineStr">
        <is>
          <t>Copper</t>
        </is>
      </c>
      <c r="J8" t="inlineStr">
        <is>
          <t>max 2 m</t>
        </is>
      </c>
      <c r="K8" t="inlineStr">
        <is>
          <t>IB/ETH</t>
        </is>
      </c>
      <c r="L8" t="inlineStr">
        <is>
          <t>MCP4Y10-Nxxx Twin-port 2x400Gb/s OSFP to 2x400Gb/s OSFP Passive DAC Product Specifications</t>
        </is>
      </c>
      <c r="M8" s="6" t="inlineStr">
        <is>
          <t>https://networking-docs.nvidia.com/mcp4y10nxxx2x400pub</t>
        </is>
      </c>
    </row>
    <row r="9">
      <c r="A9" t="inlineStr">
        <is>
          <t>MCP4Y10-Nxxx-FLT</t>
        </is>
      </c>
      <c r="B9" t="inlineStr">
        <is>
          <t>flat-top</t>
        </is>
      </c>
      <c r="C9" t="inlineStr">
        <is>
          <t>active</t>
        </is>
      </c>
      <c r="D9" t="inlineStr">
        <is>
          <t>MCP4Y10-N00A-FLT / MCP4Y10-N001-FLT / MCP4Y10-N002-FLT</t>
        </is>
      </c>
      <c r="E9" t="inlineStr">
        <is>
          <t>980-9IA0L-00N00A, 980-9IA0G-00N001, 980-9IA0J-00N002</t>
        </is>
      </c>
      <c r="F9" t="inlineStr">
        <is>
          <t>800G</t>
        </is>
      </c>
      <c r="G9" t="inlineStr">
        <is>
          <t>OSFP-flattop -&gt; OSFP-flattop</t>
        </is>
      </c>
      <c r="H9" t="inlineStr">
        <is>
          <t>2x 2x400Gb/s OSFP to OSFP</t>
        </is>
      </c>
      <c r="I9" t="inlineStr">
        <is>
          <t>Copper</t>
        </is>
      </c>
      <c r="J9" t="inlineStr">
        <is>
          <t>max 2 m</t>
        </is>
      </c>
      <c r="K9" t="inlineStr">
        <is>
          <t>IB/ETH</t>
        </is>
      </c>
      <c r="L9" t="inlineStr">
        <is>
          <t>MCP4Y10-Nxxx Twin-port 2x400Gb/s OSFP to 2x400Gb/s OSFP Passive DAC Product Specifications</t>
        </is>
      </c>
      <c r="M9" s="6" t="inlineStr">
        <is>
          <t>https://networking-docs.nvidia.com/mcp4y10nxxx2x400pub</t>
        </is>
      </c>
    </row>
    <row r="10">
      <c r="A10" t="inlineStr">
        <is>
          <t>MCP7Y00-Nxxx</t>
        </is>
      </c>
      <c r="B10" t="inlineStr">
        <is>
          <t>finned head</t>
        </is>
      </c>
      <c r="C10" t="inlineStr">
        <is>
          <t>active</t>
        </is>
      </c>
      <c r="D10" t="inlineStr">
        <is>
          <t>—</t>
        </is>
      </c>
      <c r="E10" t="inlineStr">
        <is>
          <t>MCP7Y00-N001, MCP7Y00-N01A, MCP7Y00-N002, MCP7Y00-N02A, MCP7Y00-N003</t>
        </is>
      </c>
      <c r="F10" t="inlineStr">
        <is>
          <t>800G</t>
        </is>
      </c>
      <c r="G10" t="inlineStr">
        <is>
          <t>OSFP-finned -&gt; 2xOSFP-flattop</t>
        </is>
      </c>
      <c r="H10" t="inlineStr">
        <is>
          <t>2x 2x400Gb/s OSFP to 2xOSFP</t>
        </is>
      </c>
      <c r="I10" t="inlineStr">
        <is>
          <t>Copper</t>
        </is>
      </c>
      <c r="J10" t="inlineStr">
        <is>
          <t>max 3 m</t>
        </is>
      </c>
      <c r="K10" t="inlineStr">
        <is>
          <t>IB/ETH</t>
        </is>
      </c>
      <c r="L10" t="inlineStr">
        <is>
          <t>MCP7Y00-Nxxx 800Gb/s Twin-port 2x400G OSFP to 2x400G OSFP Passive DAC Splitter Product Specifications</t>
        </is>
      </c>
      <c r="M10" s="6" t="inlineStr">
        <is>
          <t>https://networking-docs.nvidia.com/mcp7y00nxxx800pub</t>
        </is>
      </c>
    </row>
    <row r="11">
      <c r="A11" t="inlineStr">
        <is>
          <t>MCP7Y00-Nxxx-FLT</t>
        </is>
      </c>
      <c r="B11" t="inlineStr">
        <is>
          <t>flat-top head</t>
        </is>
      </c>
      <c r="C11" t="inlineStr">
        <is>
          <t>active</t>
        </is>
      </c>
      <c r="D11" t="inlineStr">
        <is>
          <t>—</t>
        </is>
      </c>
      <c r="E11" t="inlineStr">
        <is>
          <t>MCP7Y00-N001-FLT1, MCP7Y00-N01A-FLT, MCP7Y00-N002-FLT</t>
        </is>
      </c>
      <c r="F11" t="inlineStr">
        <is>
          <t>800G</t>
        </is>
      </c>
      <c r="G11" t="inlineStr">
        <is>
          <t>OSFP-flattop -&gt; 2xOSFP-flattop</t>
        </is>
      </c>
      <c r="H11" t="inlineStr">
        <is>
          <t>2x 2x400Gb/s OSFP to 2xOSFP</t>
        </is>
      </c>
      <c r="I11" t="inlineStr">
        <is>
          <t>Copper</t>
        </is>
      </c>
      <c r="J11" t="inlineStr">
        <is>
          <t>max 2 m</t>
        </is>
      </c>
      <c r="K11" t="inlineStr">
        <is>
          <t>IB/ETH</t>
        </is>
      </c>
      <c r="L11" t="inlineStr">
        <is>
          <t>MCP7Y00-Nxxx 800Gbps Twin-port 2x400G OSFP to 2x400G OSFP Passive DAC Splitter</t>
        </is>
      </c>
      <c r="M11" s="6" t="inlineStr">
        <is>
          <t>https://networking-docs.nvidia.com/mcp7y00nxxx800pub</t>
        </is>
      </c>
    </row>
    <row r="12">
      <c r="A12" t="inlineStr">
        <is>
          <t>MCP1600-E0xxEyy</t>
        </is>
      </c>
      <c r="B12" t="inlineStr">
        <is>
          <t>—</t>
        </is>
      </c>
      <c r="C12" t="inlineStr">
        <is>
          <t>active</t>
        </is>
      </c>
      <c r="D12" t="inlineStr">
        <is>
          <t>—</t>
        </is>
      </c>
      <c r="E12" t="inlineStr">
        <is>
          <t>MCP1600-E00AE30, MCP1600-E001E30, MCP1600-E01AE30, MCP1600-E002E30, MCP1600-E02AE26, MCP1600-E003E26, MCP1600-E004E26, MCP1600-E005E26</t>
        </is>
      </c>
      <c r="F12" t="inlineStr">
        <is>
          <t>100G</t>
        </is>
      </c>
      <c r="G12" t="inlineStr">
        <is>
          <t>QSFP28</t>
        </is>
      </c>
      <c r="H12" t="inlineStr">
        <is>
          <t>1x 100Gb/s QSFP28 to QSFP28</t>
        </is>
      </c>
      <c r="I12" t="inlineStr">
        <is>
          <t>Copper</t>
        </is>
      </c>
      <c r="J12" t="inlineStr">
        <is>
          <t>max 5 m</t>
        </is>
      </c>
      <c r="K12" t="inlineStr">
        <is>
          <t>IB</t>
        </is>
      </c>
      <c r="L12" t="inlineStr">
        <is>
          <t>MCP1600-E0xxEyy 100Gb/s QSFP28 DAC Cable Product Specifications</t>
        </is>
      </c>
      <c r="M12" s="6" t="inlineStr">
        <is>
          <t>https://networking-docs.nvidia.com/mcp1600e0xxxeyyspec</t>
        </is>
      </c>
    </row>
  </sheetData>
  <autoFilter ref="A1:M12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60" customWidth="1" min="4" max="4"/>
    <col width="60" customWidth="1" min="5" max="5"/>
    <col width="13" customWidth="1" min="6" max="6"/>
    <col width="60" customWidth="1" min="7" max="7"/>
    <col width="58" customWidth="1" min="8" max="8"/>
  </cols>
  <sheetData>
    <row r="1">
      <c r="A1" s="5" t="inlineStr">
        <is>
          <t>Category</t>
        </is>
      </c>
      <c r="B1" s="5" t="inlineStr">
        <is>
          <t>Model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Description</t>
        </is>
      </c>
      <c r="H1" s="5" t="inlineStr">
        <is>
          <t>Link</t>
        </is>
      </c>
    </row>
    <row r="2">
      <c r="A2" t="inlineStr">
        <is>
          <t>Transceiver</t>
        </is>
      </c>
      <c r="B2" t="inlineStr">
        <is>
          <t>MMS4C1X</t>
        </is>
      </c>
      <c r="C2" t="inlineStr">
        <is>
          <t>active</t>
        </is>
      </c>
      <c r="D2" t="inlineStr">
        <is>
          <t>—</t>
        </is>
      </c>
      <c r="E2" t="inlineStr">
        <is>
          <t>980-9IAU0-00XM00, 980-9IAU0-00XM01, 980-9IAU1-00XM00, 980-9IAU1-00XM01</t>
        </is>
      </c>
      <c r="F2" t="inlineStr">
        <is>
          <t>1600G</t>
        </is>
      </c>
      <c r="G2" t="inlineStr">
        <is>
          <t>NVIDIA MMS4C1X FRO 1600Gbps, 2xDR4, Twin-port OSFP, 2xMPO (APC), 1310nm Single Mode Transceiver (up to 500m)</t>
        </is>
      </c>
      <c r="H2" s="6" t="inlineStr">
        <is>
          <t>https://networking-docs.nvidia.com/9iau000xmosfptcvr1600</t>
        </is>
      </c>
    </row>
    <row r="3">
      <c r="A3" t="inlineStr">
        <is>
          <t>Adapter</t>
        </is>
      </c>
      <c r="B3" t="inlineStr">
        <is>
          <t>MAM1Q00A-QSA</t>
        </is>
      </c>
      <c r="C3" t="inlineStr">
        <is>
          <t>active</t>
        </is>
      </c>
      <c r="D3" t="inlineStr">
        <is>
          <t>—</t>
        </is>
      </c>
      <c r="E3" t="inlineStr">
        <is>
          <t>—</t>
        </is>
      </c>
      <c r="F3" t="inlineStr">
        <is>
          <t>Accessories</t>
        </is>
      </c>
      <c r="G3" t="inlineStr">
        <is>
          <t>MAM1Q00A-QSA NVIDIA DynamiX QSA™, QSFP+ to SFP+ Adapter Product Specifications</t>
        </is>
      </c>
      <c r="H3" s="6" t="inlineStr">
        <is>
          <t>https://networking-docs.nvidia.com/mam1q00aqsadnmx</t>
        </is>
      </c>
    </row>
    <row r="4">
      <c r="A4" t="inlineStr">
        <is>
          <t>Adapter</t>
        </is>
      </c>
      <c r="B4" t="inlineStr">
        <is>
          <t>MAM1Q00A-QSA28</t>
        </is>
      </c>
      <c r="C4" t="inlineStr">
        <is>
          <t>active</t>
        </is>
      </c>
      <c r="D4" t="inlineStr">
        <is>
          <t>—</t>
        </is>
      </c>
      <c r="E4" t="inlineStr">
        <is>
          <t>—</t>
        </is>
      </c>
      <c r="F4" t="inlineStr">
        <is>
          <t>Accessories</t>
        </is>
      </c>
      <c r="G4" t="inlineStr">
        <is>
          <t>MAM1Q00A-QSA28 NVIDIA DynamiX QSA™ QSA28, QSFP28 to SFP28 Adapter Product Specifications</t>
        </is>
      </c>
      <c r="H4" s="6" t="inlineStr">
        <is>
          <t>https://networking-docs.nvidia.com/mam1q00aqsa28dnmx</t>
        </is>
      </c>
    </row>
    <row r="5">
      <c r="A5" t="inlineStr">
        <is>
          <t>Fiber</t>
        </is>
      </c>
      <c r="B5" t="inlineStr">
        <is>
          <t>MFP7E10-Nxxx</t>
        </is>
      </c>
      <c r="C5" t="inlineStr">
        <is>
          <t>active</t>
        </is>
      </c>
      <c r="D5" t="inlineStr">
        <is>
          <t>—</t>
        </is>
      </c>
      <c r="E5" t="inlineStr">
        <is>
          <t>—</t>
        </is>
      </c>
      <c r="F5" t="inlineStr">
        <is>
          <t>Accessories</t>
        </is>
      </c>
      <c r="G5" t="inlineStr">
        <is>
          <t>MFP7E10-Nxxx Optical Multimode Fiber Cable Product Specifications</t>
        </is>
      </c>
      <c r="H5" s="6" t="inlineStr">
        <is>
          <t>https://networking-docs.nvidia.com/mfp7e10nxxx</t>
        </is>
      </c>
    </row>
    <row r="6">
      <c r="A6" t="inlineStr">
        <is>
          <t>Fiber</t>
        </is>
      </c>
      <c r="B6" t="inlineStr">
        <is>
          <t>MFP7E20-Nxxx</t>
        </is>
      </c>
      <c r="C6" t="inlineStr">
        <is>
          <t>active</t>
        </is>
      </c>
      <c r="D6" t="inlineStr">
        <is>
          <t>—</t>
        </is>
      </c>
      <c r="E6" t="inlineStr">
        <is>
          <t>—</t>
        </is>
      </c>
      <c r="F6" t="inlineStr">
        <is>
          <t>Accessories</t>
        </is>
      </c>
      <c r="G6" t="inlineStr">
        <is>
          <t>MFP7E20-Nxxx Optical Multimode Splitter Fiber Cable Product Specifications</t>
        </is>
      </c>
      <c r="H6" s="6" t="inlineStr">
        <is>
          <t>https://networking-docs.nvidia.com/mfp7e20nxxx</t>
        </is>
      </c>
    </row>
    <row r="7">
      <c r="A7" t="inlineStr">
        <is>
          <t>Fiber</t>
        </is>
      </c>
      <c r="B7" t="inlineStr">
        <is>
          <t>MFP7E30-Nxxx</t>
        </is>
      </c>
      <c r="C7" t="inlineStr">
        <is>
          <t>active</t>
        </is>
      </c>
      <c r="D7" t="inlineStr">
        <is>
          <t>—</t>
        </is>
      </c>
      <c r="E7" t="inlineStr">
        <is>
          <t>—</t>
        </is>
      </c>
      <c r="F7" t="inlineStr">
        <is>
          <t>Accessories</t>
        </is>
      </c>
      <c r="G7" t="inlineStr">
        <is>
          <t>MFP7E30-Nxxx MPO-to-MPO Single-mode Fiber Cable Product Specifications</t>
        </is>
      </c>
      <c r="H7" s="6" t="inlineStr">
        <is>
          <t>https://networking-docs.nvidia.com/mfp7e30nxxxpub</t>
        </is>
      </c>
    </row>
    <row r="8">
      <c r="A8" t="inlineStr">
        <is>
          <t>Fiber</t>
        </is>
      </c>
      <c r="B8" t="inlineStr">
        <is>
          <t>MFP7E40-Nxxx</t>
        </is>
      </c>
      <c r="C8" t="inlineStr">
        <is>
          <t>active</t>
        </is>
      </c>
      <c r="D8" t="inlineStr">
        <is>
          <t>MFP7E40-N003 / MFP7E40-N005 / MFP7E40-N007 / MFP7E40-N010 / MFP7E40-N015 / MFP7E40-N020 / MFP7E40-N030 / MFP7E40-N050</t>
        </is>
      </c>
      <c r="E8" t="inlineStr">
        <is>
          <t>980-9I58K-00N003, 980-9I58L-00N005, 980-9I58M-00N007, 980-9I58N-00N010, 980-9I56O-00N015, 980-9I56P-00N020, 980-9I56Q-00N030, 980-9I56R-000050</t>
        </is>
      </c>
      <c r="F8" t="inlineStr">
        <is>
          <t>Accessories</t>
        </is>
      </c>
      <c r="G8" t="inlineStr">
        <is>
          <t>MFP7E40-Nxxx Single mode 1:2 Fiber Splitter Cable Product Specifications</t>
        </is>
      </c>
      <c r="H8" s="6" t="inlineStr">
        <is>
          <t>https://networking-docs.nvidia.com/mfp7e40nxxxpub</t>
        </is>
      </c>
    </row>
  </sheetData>
  <autoFilter ref="A1:H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31" customWidth="1" min="4" max="4"/>
    <col width="40" customWidth="1" min="5" max="5"/>
    <col width="10" customWidth="1" min="6" max="6"/>
    <col width="46" customWidth="1" min="7" max="7"/>
    <col width="60" customWidth="1" min="8" max="8"/>
    <col width="45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Cages / interfaces</t>
        </is>
      </c>
      <c r="H1" s="5" t="inlineStr">
        <is>
          <t>Description</t>
        </is>
      </c>
      <c r="I1" s="5" t="inlineStr">
        <is>
          <t>Link</t>
        </is>
      </c>
    </row>
    <row r="2">
      <c r="A2" t="inlineStr">
        <is>
          <t>SN6810-LD</t>
        </is>
      </c>
      <c r="B2" t="inlineStr">
        <is>
          <t>Spectrum-6 SN6000</t>
        </is>
      </c>
      <c r="C2" t="inlineStr">
        <is>
          <t>documented</t>
        </is>
      </c>
      <c r="D2" t="inlineStr">
        <is>
          <t>—</t>
        </is>
      </c>
      <c r="E2" t="inlineStr">
        <is>
          <t>—</t>
        </is>
      </c>
      <c r="F2" t="inlineStr">
        <is>
          <t>800GbE</t>
        </is>
      </c>
      <c r="G2" t="inlineStr">
        <is>
          <t>128x MMC-12 800GbE fixed</t>
        </is>
      </c>
      <c r="H2" t="inlineStr">
        <is>
          <t>Spectrum-6 SN6000 2U 800GbE Ethernet switch: 128x MMC-12 (co-packaged optics)</t>
        </is>
      </c>
      <c r="I2" s="6" t="inlineStr">
        <is>
          <t>https://networking-docs.nvidia.com/sn6000hw</t>
        </is>
      </c>
    </row>
    <row r="3">
      <c r="A3" t="inlineStr">
        <is>
          <t>SN6800-LD</t>
        </is>
      </c>
      <c r="B3" t="inlineStr">
        <is>
          <t>Spectrum-6 SN6000</t>
        </is>
      </c>
      <c r="C3" t="inlineStr">
        <is>
          <t>documented</t>
        </is>
      </c>
      <c r="D3" t="inlineStr">
        <is>
          <t>—</t>
        </is>
      </c>
      <c r="E3" t="inlineStr">
        <is>
          <t>—</t>
        </is>
      </c>
      <c r="F3" t="inlineStr">
        <is>
          <t>200GbE</t>
        </is>
      </c>
      <c r="G3" t="inlineStr">
        <is>
          <t>512x MMC-12 200GbE fixed</t>
        </is>
      </c>
      <c r="H3" t="inlineStr">
        <is>
          <t>Spectrum-6 SN6000 5U 200GbE Ethernet switch: 512x MMC-12 (co-packaged optics)</t>
        </is>
      </c>
      <c r="I3" s="6" t="inlineStr">
        <is>
          <t>https://networking-docs.nvidia.com/sn6000hw</t>
        </is>
      </c>
    </row>
    <row r="4">
      <c r="A4" t="inlineStr">
        <is>
          <t>SN6600-LD</t>
        </is>
      </c>
      <c r="B4" t="inlineStr">
        <is>
          <t>Spectrum-6 SN6000</t>
        </is>
      </c>
      <c r="C4" t="inlineStr">
        <is>
          <t>documented</t>
        </is>
      </c>
      <c r="D4" t="inlineStr">
        <is>
          <t>—</t>
        </is>
      </c>
      <c r="E4" t="inlineStr">
        <is>
          <t>—</t>
        </is>
      </c>
      <c r="F4" t="inlineStr">
        <is>
          <t>800GbE</t>
        </is>
      </c>
      <c r="G4" t="inlineStr">
        <is>
          <t>64x OSFP 2x800 Gb/s</t>
        </is>
      </c>
      <c r="H4" t="inlineStr">
        <is>
          <t>Spectrum-6 SN6000 2U 800GbE Ethernet switch: 64x OSFP 2x800 Gb/s</t>
        </is>
      </c>
      <c r="I4" s="6" t="inlineStr">
        <is>
          <t>https://networking-docs.nvidia.com/sn6000hw</t>
        </is>
      </c>
    </row>
    <row r="5">
      <c r="A5" t="inlineStr">
        <is>
          <t>SN6600</t>
        </is>
      </c>
      <c r="B5" t="inlineStr">
        <is>
          <t>Spectrum-6 SN6000</t>
        </is>
      </c>
      <c r="C5" t="inlineStr">
        <is>
          <t>documented</t>
        </is>
      </c>
      <c r="D5" t="inlineStr">
        <is>
          <t>—</t>
        </is>
      </c>
      <c r="E5" t="inlineStr">
        <is>
          <t>—</t>
        </is>
      </c>
      <c r="F5" t="inlineStr">
        <is>
          <t>800GbE</t>
        </is>
      </c>
      <c r="G5" t="inlineStr">
        <is>
          <t>64x OSFP 2x800 Gb/s</t>
        </is>
      </c>
      <c r="H5" t="inlineStr">
        <is>
          <t>Spectrum-6 SN6000 3U 800GbE Ethernet switch: 64x OSFP 2x800 Gb/s</t>
        </is>
      </c>
      <c r="I5" s="6" t="inlineStr">
        <is>
          <t>https://networking-docs.nvidia.com/sn6000hw</t>
        </is>
      </c>
    </row>
    <row r="6">
      <c r="A6" t="inlineStr">
        <is>
          <t>SN6200-LD</t>
        </is>
      </c>
      <c r="B6" t="inlineStr">
        <is>
          <t>Spectrum-6 SN6000</t>
        </is>
      </c>
      <c r="C6" t="inlineStr">
        <is>
          <t>documented</t>
        </is>
      </c>
      <c r="D6" t="inlineStr">
        <is>
          <t>—</t>
        </is>
      </c>
      <c r="E6" t="inlineStr">
        <is>
          <t>—</t>
        </is>
      </c>
      <c r="F6" t="inlineStr">
        <is>
          <t>200GbE</t>
        </is>
      </c>
      <c r="G6" t="inlineStr">
        <is>
          <t>32x OSFP 2x800GbE front; 256x backplane 200G</t>
        </is>
      </c>
      <c r="H6" t="inlineStr">
        <is>
          <t>Spectrum-6 SN6000 1U 200GbE Ethernet switch: 32x OSFP 2x800GbE front + 256x200G backplane</t>
        </is>
      </c>
      <c r="I6" s="6" t="inlineStr">
        <is>
          <t>https://networking-docs.nvidia.com/sn6000hw</t>
        </is>
      </c>
    </row>
    <row r="7">
      <c r="A7" t="inlineStr">
        <is>
          <t>SN5610</t>
        </is>
      </c>
      <c r="B7" t="inlineStr">
        <is>
          <t>Spectrum-4 SN5000</t>
        </is>
      </c>
      <c r="C7" t="inlineStr">
        <is>
          <t>documented</t>
        </is>
      </c>
      <c r="D7" t="inlineStr">
        <is>
          <t>—</t>
        </is>
      </c>
      <c r="E7" t="inlineStr">
        <is>
          <t>920-9N42F-00RI-3C1</t>
        </is>
      </c>
      <c r="F7" t="inlineStr">
        <is>
          <t>800GbE</t>
        </is>
      </c>
      <c r="G7" t="inlineStr">
        <is>
          <t>64x OSFP 800GbE; 2x SFP28 25GbE</t>
        </is>
      </c>
      <c r="H7" t="inlineStr">
        <is>
          <t>Spectrum-4 SN5000 2U 800GbE Ethernet switch: 64x OSFP 800GbE + 2x SFP28 25GbE</t>
        </is>
      </c>
      <c r="I7" s="6" t="inlineStr">
        <is>
          <t>https://networking-docs.nvidia.com/sn5000hw</t>
        </is>
      </c>
    </row>
    <row r="8">
      <c r="A8" t="inlineStr">
        <is>
          <t>SN5600</t>
        </is>
      </c>
      <c r="B8" t="inlineStr">
        <is>
          <t>Spectrum-4 SN5000</t>
        </is>
      </c>
      <c r="C8" t="inlineStr">
        <is>
          <t>end_of_life</t>
        </is>
      </c>
      <c r="D8" t="inlineStr">
        <is>
          <t>—</t>
        </is>
      </c>
      <c r="E8" t="inlineStr">
        <is>
          <t>920-9N42F-00RI-7C0</t>
        </is>
      </c>
      <c r="F8" t="inlineStr">
        <is>
          <t>800GbE</t>
        </is>
      </c>
      <c r="G8" t="inlineStr">
        <is>
          <t>64x OSFP 800GbE; 1x SFP28 25GbE</t>
        </is>
      </c>
      <c r="H8" t="inlineStr">
        <is>
          <t>Spectrum-4 SN5000 2U 800GbE Ethernet switch: 64x OSFP 800GbE + 1x SFP28 25GbE</t>
        </is>
      </c>
      <c r="I8" s="6" t="inlineStr">
        <is>
          <t>https://networking-docs.nvidia.com/sn5000hw</t>
        </is>
      </c>
    </row>
    <row r="9">
      <c r="A9" t="inlineStr">
        <is>
          <t>SN5600D</t>
        </is>
      </c>
      <c r="B9" t="inlineStr">
        <is>
          <t>Spectrum-4 SN5000</t>
        </is>
      </c>
      <c r="C9" t="inlineStr">
        <is>
          <t>documented</t>
        </is>
      </c>
      <c r="D9" t="inlineStr">
        <is>
          <t>—</t>
        </is>
      </c>
      <c r="E9" t="inlineStr">
        <is>
          <t>920-9N42F-00RI-KC0</t>
        </is>
      </c>
      <c r="F9" t="inlineStr">
        <is>
          <t>800GbE</t>
        </is>
      </c>
      <c r="G9" t="inlineStr">
        <is>
          <t>64x OSFP 800GbE; 1x SFP28 25GbE</t>
        </is>
      </c>
      <c r="H9" t="inlineStr">
        <is>
          <t>Spectrum-4 SN5000 2U 800GbE Ethernet switch: 64x OSFP 800GbE + 1x SFP28 25GbE</t>
        </is>
      </c>
      <c r="I9" s="6" t="inlineStr">
        <is>
          <t>https://networking-docs.nvidia.com/sn5000hw</t>
        </is>
      </c>
    </row>
    <row r="10">
      <c r="A10" t="inlineStr">
        <is>
          <t>SN5400</t>
        </is>
      </c>
      <c r="B10" t="inlineStr">
        <is>
          <t>Spectrum-4 SN5000</t>
        </is>
      </c>
      <c r="C10" t="inlineStr">
        <is>
          <t>documented</t>
        </is>
      </c>
      <c r="D10" t="inlineStr">
        <is>
          <t>—</t>
        </is>
      </c>
      <c r="E10" t="inlineStr">
        <is>
          <t>920-9N42C-00RB-7C0, 920-9N42C-00FB-7C0</t>
        </is>
      </c>
      <c r="F10" t="inlineStr">
        <is>
          <t>400GbE</t>
        </is>
      </c>
      <c r="G10" t="inlineStr">
        <is>
          <t>64x QSFP-DD 400GbE; 2x SFP28 25GbE</t>
        </is>
      </c>
      <c r="H10" t="inlineStr">
        <is>
          <t>Spectrum-4 SN5000 2U 400GbE Ethernet switch: 64x QSFP-DD 400GbE + 2x SFP28 25GbE</t>
        </is>
      </c>
      <c r="I10" s="6" t="inlineStr">
        <is>
          <t>https://networking-docs.nvidia.com/sn5000hw</t>
        </is>
      </c>
    </row>
    <row r="11">
      <c r="A11" t="inlineStr">
        <is>
          <t>SN4600C</t>
        </is>
      </c>
      <c r="B11" t="inlineStr">
        <is>
          <t>Spectrum-3 SN4000</t>
        </is>
      </c>
      <c r="C11" t="inlineStr">
        <is>
          <t>documented</t>
        </is>
      </c>
      <c r="D11" t="inlineStr">
        <is>
          <t>MSN4600-CS2FC / MSN4600-CS2RC</t>
        </is>
      </c>
      <c r="E11" t="inlineStr">
        <is>
          <t>920-9N302-00F7-0C2, 920-9N302-00R7-0C0</t>
        </is>
      </c>
      <c r="F11" t="inlineStr">
        <is>
          <t>100GbE</t>
        </is>
      </c>
      <c r="G11" t="inlineStr">
        <is>
          <t>64x QSFP28 100GbE</t>
        </is>
      </c>
      <c r="H11" t="inlineStr">
        <is>
          <t>Spectrum-3 SN4000 2U 100GbE Ethernet switch: 64x QSFP28 100GbE</t>
        </is>
      </c>
      <c r="I11" s="6" t="inlineStr">
        <is>
          <t>https://networking-docs.nvidia.com/sn4000hw</t>
        </is>
      </c>
    </row>
    <row r="12">
      <c r="A12" t="inlineStr">
        <is>
          <t>SN4700</t>
        </is>
      </c>
      <c r="B12" t="inlineStr">
        <is>
          <t>Spectrum-3 SN4000</t>
        </is>
      </c>
      <c r="C12" t="inlineStr">
        <is>
          <t>documented</t>
        </is>
      </c>
      <c r="D12" t="inlineStr">
        <is>
          <t>MSN4700-WS2FC / MSN4700-WS2RC</t>
        </is>
      </c>
      <c r="E12" t="inlineStr">
        <is>
          <t>920-9N301-00FB-0C0, 920-9N301-00RB-0C0</t>
        </is>
      </c>
      <c r="F12" t="inlineStr">
        <is>
          <t>400GbE</t>
        </is>
      </c>
      <c r="G12" t="inlineStr">
        <is>
          <t>32x QSFP-DD 400GbE</t>
        </is>
      </c>
      <c r="H12" t="inlineStr">
        <is>
          <t>Spectrum-3 SN4000 1U 400GbE Ethernet switch: 32x QSFP-DD 400GbE</t>
        </is>
      </c>
      <c r="I12" s="6" t="inlineStr">
        <is>
          <t>https://networking-docs.nvidia.com/sn4000hw</t>
        </is>
      </c>
    </row>
    <row r="13">
      <c r="A13" t="inlineStr">
        <is>
          <t>SN3420</t>
        </is>
      </c>
      <c r="B13" t="inlineStr">
        <is>
          <t>Spectrum-2 SN3000</t>
        </is>
      </c>
      <c r="C13" t="inlineStr">
        <is>
          <t>documented</t>
        </is>
      </c>
      <c r="D13" t="inlineStr">
        <is>
          <t>MSN3420-CB2FC / MSN3420-CB2RC</t>
        </is>
      </c>
      <c r="E13" t="inlineStr">
        <is>
          <t>920-9N213-00F7-0C0, 920-9N213-00R7-0C0</t>
        </is>
      </c>
      <c r="F13" t="inlineStr">
        <is>
          <t>100GbE</t>
        </is>
      </c>
      <c r="G13" t="inlineStr">
        <is>
          <t>12x QSFP28 100GbE; 48x SFP28 25GbE</t>
        </is>
      </c>
      <c r="H13" t="inlineStr">
        <is>
          <t>Spectrum-2 SN3000 1U 100GbE Ethernet switch: 12x QSFP28 100GbE + 48x SFP28 25GbE</t>
        </is>
      </c>
      <c r="I13" s="6" t="inlineStr">
        <is>
          <t>https://networking-docs.nvidia.com/sn3000hw</t>
        </is>
      </c>
    </row>
    <row r="14">
      <c r="A14" t="inlineStr">
        <is>
          <t>SN2201</t>
        </is>
      </c>
      <c r="B14" t="inlineStr">
        <is>
          <t>Spectrum SN2000</t>
        </is>
      </c>
      <c r="C14" t="inlineStr">
        <is>
          <t>documented</t>
        </is>
      </c>
      <c r="D14" t="inlineStr">
        <is>
          <t>MSN2201-CB2FC / MSN2201-CB2RC</t>
        </is>
      </c>
      <c r="E14" t="inlineStr">
        <is>
          <t>920-9N110-00F1-0C0, 920-9N110-00R1-0C0</t>
        </is>
      </c>
      <c r="F14" t="inlineStr">
        <is>
          <t>100GbE</t>
        </is>
      </c>
      <c r="G14" t="inlineStr">
        <is>
          <t>48x RJ45 fixed; 4x QSFP28 100GbE</t>
        </is>
      </c>
      <c r="H14" t="inlineStr">
        <is>
          <t>Spectrum SN2000 1U 100GbE Ethernet switch: 48x RJ45 + 4x QSFP28 100GbE</t>
        </is>
      </c>
      <c r="I14" s="6" t="inlineStr">
        <is>
          <t>https://networking-docs.nvidia.com/sn2201hw</t>
        </is>
      </c>
    </row>
    <row r="15">
      <c r="A15" t="inlineStr">
        <is>
          <t>SN4600</t>
        </is>
      </c>
      <c r="B15" t="inlineStr">
        <is>
          <t>Spectrum-3 SN4000</t>
        </is>
      </c>
      <c r="C15" t="inlineStr">
        <is>
          <t>documented</t>
        </is>
      </c>
      <c r="D15" t="inlineStr">
        <is>
          <t>MSN4600-CS2FC / MSN4600-CS2RC</t>
        </is>
      </c>
      <c r="E15" t="inlineStr">
        <is>
          <t>920-9N302-00F7-0C2, 920-9N302-00R7-0C0</t>
        </is>
      </c>
      <c r="F15" t="inlineStr">
        <is>
          <t>100GbE</t>
        </is>
      </c>
      <c r="G15" t="inlineStr">
        <is>
          <t>64x QSFP28 100GbE</t>
        </is>
      </c>
      <c r="H15" t="inlineStr">
        <is>
          <t>Spectrum-3 SN4000 2U 100GbE Ethernet switch: 64x QSFP28 100GbE</t>
        </is>
      </c>
      <c r="I15" s="6" t="inlineStr">
        <is>
          <t>https://networking-docs.nvidia.com/sn4000hw</t>
        </is>
      </c>
    </row>
    <row r="16">
      <c r="A16" t="inlineStr">
        <is>
          <t>SN4700D</t>
        </is>
      </c>
      <c r="B16" t="inlineStr">
        <is>
          <t>Spectrum-3 SN4000</t>
        </is>
      </c>
      <c r="C16" t="inlineStr">
        <is>
          <t>documented</t>
        </is>
      </c>
      <c r="D16" t="inlineStr">
        <is>
          <t>MSN4700-WSARC</t>
        </is>
      </c>
      <c r="E16" t="inlineStr">
        <is>
          <t>920-9N301-00RB-NC0</t>
        </is>
      </c>
      <c r="F16" t="inlineStr">
        <is>
          <t>400GbE</t>
        </is>
      </c>
      <c r="G16" t="inlineStr">
        <is>
          <t>32x QSFP-DD 400GbE</t>
        </is>
      </c>
      <c r="H16" t="inlineStr">
        <is>
          <t>Spectrum-3 SN4000 1U 400GbE Ethernet switch: 32x QSFP-DD 400GbE</t>
        </is>
      </c>
      <c r="I16" s="6" t="inlineStr">
        <is>
          <t>https://networking-docs.nvidia.com/sn4000hw</t>
        </is>
      </c>
    </row>
  </sheetData>
  <autoFilter ref="A1:I1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2" customWidth="1" min="5" max="5"/>
    <col width="23" customWidth="1" min="6" max="6"/>
    <col width="60" customWidth="1" min="7" max="7"/>
    <col width="60" customWidth="1" min="8" max="8"/>
    <col width="60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Cages / interfaces</t>
        </is>
      </c>
      <c r="H1" s="5" t="inlineStr">
        <is>
          <t>Description</t>
        </is>
      </c>
      <c r="I1" s="5" t="inlineStr">
        <is>
          <t>Link</t>
        </is>
      </c>
    </row>
    <row r="2">
      <c r="A2" t="inlineStr">
        <is>
          <t>Q3200-RA</t>
        </is>
      </c>
      <c r="B2" t="inlineStr">
        <is>
          <t>Quantum-X800</t>
        </is>
      </c>
      <c r="C2" t="inlineStr">
        <is>
          <t>documented</t>
        </is>
      </c>
      <c r="D2" t="inlineStr">
        <is>
          <t>—</t>
        </is>
      </c>
      <c r="E2" t="inlineStr">
        <is>
          <t>920-9B34F-00RX-FS0</t>
        </is>
      </c>
      <c r="F2" t="inlineStr">
        <is>
          <t>800Gb/s XDR</t>
        </is>
      </c>
      <c r="G2" t="inlineStr">
        <is>
          <t>36x OSFP 800Gb/s XDR (twin-port, 72 ports)</t>
        </is>
      </c>
      <c r="H2" t="inlineStr">
        <is>
          <t>Quantum-X800 800Gb/s XDR: 2x18 OSFP</t>
        </is>
      </c>
      <c r="I2" s="6" t="inlineStr">
        <is>
          <t>https://networking-docs.nvidia.com/switches#nvidiatab-hw-documentation</t>
        </is>
      </c>
    </row>
    <row r="3">
      <c r="A3" t="inlineStr">
        <is>
          <t>Q3400-RA</t>
        </is>
      </c>
      <c r="B3" t="inlineStr">
        <is>
          <t>Quantum-X800</t>
        </is>
      </c>
      <c r="C3" t="inlineStr">
        <is>
          <t>documented</t>
        </is>
      </c>
      <c r="D3" t="inlineStr">
        <is>
          <t>—</t>
        </is>
      </c>
      <c r="E3" t="inlineStr">
        <is>
          <t>920-9B36F-00RX-8S0</t>
        </is>
      </c>
      <c r="F3" t="inlineStr">
        <is>
          <t>800Gb/s XDR</t>
        </is>
      </c>
      <c r="G3" t="inlineStr">
        <is>
          <t>72x OSFP 800Gb/s XDR (twin-port, 144 ports)</t>
        </is>
      </c>
      <c r="H3" t="inlineStr">
        <is>
          <t>Quantum-X800 800Gb/s XDR: 72x OSFP</t>
        </is>
      </c>
      <c r="I3" s="6" t="inlineStr">
        <is>
          <t>https://networking-docs.nvidia.com/switches#nvidiatab-hw-documentation</t>
        </is>
      </c>
    </row>
    <row r="4">
      <c r="A4" t="inlineStr">
        <is>
          <t>Q3401-RD</t>
        </is>
      </c>
      <c r="B4" t="inlineStr">
        <is>
          <t>Quantum-X800</t>
        </is>
      </c>
      <c r="C4" t="inlineStr">
        <is>
          <t>documented</t>
        </is>
      </c>
      <c r="D4" t="inlineStr">
        <is>
          <t>—</t>
        </is>
      </c>
      <c r="E4" t="inlineStr">
        <is>
          <t>920-9B36P-00RX-8S0</t>
        </is>
      </c>
      <c r="F4" t="inlineStr">
        <is>
          <t>800Gb/s XDR</t>
        </is>
      </c>
      <c r="G4" t="inlineStr">
        <is>
          <t>72x OSFP 800Gb/s XDR (twin-port, 144 ports)</t>
        </is>
      </c>
      <c r="H4" t="inlineStr">
        <is>
          <t>Quantum-X800 800Gb/s XDR: 72x OSFP</t>
        </is>
      </c>
      <c r="I4" s="6" t="inlineStr">
        <is>
          <t>https://networking-docs.nvidia.com/switches#nvidiatab-hw-documentation</t>
        </is>
      </c>
    </row>
    <row r="5">
      <c r="A5" t="inlineStr">
        <is>
          <t>Q3450-LD</t>
        </is>
      </c>
      <c r="B5" t="inlineStr">
        <is>
          <t>Quantum-X Photonics / Quantum-X800</t>
        </is>
      </c>
      <c r="C5" t="inlineStr">
        <is>
          <t>documented</t>
        </is>
      </c>
      <c r="D5" t="inlineStr">
        <is>
          <t>—</t>
        </is>
      </c>
      <c r="E5" t="inlineStr">
        <is>
          <t>920-9B36M-00MX-8ES</t>
        </is>
      </c>
      <c r="F5" t="inlineStr">
        <is>
          <t>800Gb/s XDR</t>
        </is>
      </c>
      <c r="G5" t="inlineStr">
        <is>
          <t>144x MPO-12 CPO 800Gb/s XDR fixed</t>
        </is>
      </c>
      <c r="H5" t="inlineStr">
        <is>
          <t>Quantum-X Photonics / Quantum-X800 800Gb/s XDR: 144x MPO12 CPO</t>
        </is>
      </c>
      <c r="I5" s="6" t="inlineStr">
        <is>
          <t>https://networking-docs.nvidia.com/switches#nvidiatab-hw-documentation</t>
        </is>
      </c>
    </row>
    <row r="6">
      <c r="A6" t="inlineStr">
        <is>
          <t>QM9700 family</t>
        </is>
      </c>
      <c r="B6" t="inlineStr">
        <is>
          <t>Quantum-2</t>
        </is>
      </c>
      <c r="C6" t="inlineStr">
        <is>
          <t>documented</t>
        </is>
      </c>
      <c r="D6" t="inlineStr">
        <is>
          <t>—</t>
        </is>
      </c>
      <c r="E6" t="inlineStr">
        <is>
          <t>—</t>
        </is>
      </c>
      <c r="F6" t="inlineStr">
        <is>
          <t>400Gb/s NDR</t>
        </is>
      </c>
      <c r="G6" t="inlineStr">
        <is>
          <t>OSFP 400Gb/s NDR</t>
        </is>
      </c>
      <c r="H6" t="inlineStr">
        <is>
          <t>Quantum-2 400Gb/s NDR: OSFP</t>
        </is>
      </c>
      <c r="I6" s="6" t="inlineStr">
        <is>
          <t>https://networking-docs.nvidia.com/switches#nvidiatab-hw-documentation</t>
        </is>
      </c>
    </row>
    <row r="7">
      <c r="A7" t="inlineStr">
        <is>
          <t>Skyway</t>
        </is>
      </c>
      <c r="B7" t="inlineStr">
        <is>
          <t>InfiniBand-to-Ethernet Gateway</t>
        </is>
      </c>
      <c r="C7" t="inlineStr">
        <is>
          <t>documented</t>
        </is>
      </c>
      <c r="D7" t="inlineStr">
        <is>
          <t>—</t>
        </is>
      </c>
      <c r="E7" t="inlineStr">
        <is>
          <t>—</t>
        </is>
      </c>
      <c r="F7" t="inlineStr">
        <is>
          <t>100/200 Gb/s per port</t>
        </is>
      </c>
      <c r="G7" t="inlineStr">
        <is>
          <t>8x QSFP56 100/200 Gb/s [InfiniBand]; 8x QSFP56 100/200 Gb/s [Ethernet]</t>
        </is>
      </c>
      <c r="H7" t="inlineStr">
        <is>
          <t>InfiniBand-to-Ethernet Gateway 100/200 Gb/s per port: 8 ports per InfiniBand and Ethernet side</t>
        </is>
      </c>
      <c r="I7" s="6" t="inlineStr">
        <is>
          <t>https://networking-docs.nvidia.com/skyway</t>
        </is>
      </c>
    </row>
    <row r="8">
      <c r="A8" t="inlineStr">
        <is>
          <t>MetroX-3 XC</t>
        </is>
      </c>
      <c r="B8" t="inlineStr">
        <is>
          <t>Long-haul InfiniBand</t>
        </is>
      </c>
      <c r="C8" t="inlineStr">
        <is>
          <t>end_of_life</t>
        </is>
      </c>
      <c r="D8" t="inlineStr">
        <is>
          <t>MTQ8400-HS2R / MTQ8400-HS2RC</t>
        </is>
      </c>
      <c r="E8" t="inlineStr">
        <is>
          <t>920-9B020-00FA-0DZ, 920-9B020-00FA-6DZ</t>
        </is>
      </c>
      <c r="F8" t="inlineStr">
        <is>
          <t>InfiniBand extension</t>
        </is>
      </c>
      <c r="G8" t="inlineStr">
        <is>
          <t>OSFP; 2x QSFP112 100Gb/s long-haul (DWDM-ready)</t>
        </is>
      </c>
      <c r="H8" t="inlineStr">
        <is>
          <t>Long-haul InfiniBand InfiniBand extension</t>
        </is>
      </c>
      <c r="I8" s="6" t="inlineStr">
        <is>
          <t>https://networking-docs.nvidia.com/metrox3xc</t>
        </is>
      </c>
    </row>
    <row r="9">
      <c r="A9" t="inlineStr">
        <is>
          <t>UFM Telemetry</t>
        </is>
      </c>
      <c r="B9" t="inlineStr">
        <is>
          <t>UFM platform</t>
        </is>
      </c>
      <c r="C9" t="inlineStr">
        <is>
          <t>documented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UFM platform</t>
        </is>
      </c>
      <c r="I9" s="6" t="inlineStr">
        <is>
          <t>https://networking-docs.nvidia.com/switches#nvidiatab-hw-documentation</t>
        </is>
      </c>
    </row>
    <row r="10">
      <c r="A10" t="inlineStr">
        <is>
          <t>UFM Enterprise</t>
        </is>
      </c>
      <c r="B10" t="inlineStr">
        <is>
          <t>UFM platform</t>
        </is>
      </c>
      <c r="C10" t="inlineStr">
        <is>
          <t>documented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UFM platform</t>
        </is>
      </c>
      <c r="I10" s="6" t="inlineStr">
        <is>
          <t>https://networking-docs.nvidia.com/switches#nvidiatab-hw-documentation</t>
        </is>
      </c>
    </row>
    <row r="11">
      <c r="A11" t="inlineStr">
        <is>
          <t>UFM Cyber-AI</t>
        </is>
      </c>
      <c r="B11" t="inlineStr">
        <is>
          <t>UFM platform</t>
        </is>
      </c>
      <c r="C11" t="inlineStr">
        <is>
          <t>documented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UFM platform</t>
        </is>
      </c>
      <c r="I11" s="6" t="inlineStr">
        <is>
          <t>https://networking-docs.nvidia.com/switches#nvidiatab-hw-documentation</t>
        </is>
      </c>
    </row>
    <row r="12">
      <c r="A12" t="inlineStr">
        <is>
          <t>Skyway-3</t>
        </is>
      </c>
      <c r="B12" t="inlineStr">
        <is>
          <t>InfiniBand-to-Ethernet Gateway</t>
        </is>
      </c>
      <c r="C12" t="inlineStr">
        <is>
          <t>active</t>
        </is>
      </c>
      <c r="D12" t="inlineStr">
        <is>
          <t>—</t>
        </is>
      </c>
      <c r="E12" t="inlineStr">
        <is>
          <t>920-9B02D-00RG-CF0, MGA400-XS2</t>
        </is>
      </c>
      <c r="F12" t="inlineStr">
        <is>
          <t>XDR/Ethernet gateway</t>
        </is>
      </c>
      <c r="G12" t="inlineStr">
        <is>
          <t>8x QSFP112 [InfiniBand]; 8x QSFP112 [Ethernet]</t>
        </is>
      </c>
      <c r="H12" t="inlineStr">
        <is>
          <t>InfiniBand-to-Ethernet Gateway XDR/Ethernet gateway: 8x IB + 8x Ethernet QSFP112</t>
        </is>
      </c>
      <c r="I12" s="6" t="inlineStr">
        <is>
          <t>https://networking-docs.nvidia.com/skyway3hw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12" customWidth="1" min="4" max="4"/>
    <col width="12" customWidth="1" min="5" max="5"/>
    <col width="30" customWidth="1" min="6" max="6"/>
    <col width="35" customWidth="1" min="7" max="7"/>
    <col width="60" customWidth="1" min="8" max="8"/>
    <col width="60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Cages / interfaces</t>
        </is>
      </c>
      <c r="H1" s="5" t="inlineStr">
        <is>
          <t>Description</t>
        </is>
      </c>
      <c r="I1" s="5" t="inlineStr">
        <is>
          <t>Link</t>
        </is>
      </c>
    </row>
    <row r="2">
      <c r="A2" t="inlineStr">
        <is>
          <t>Q3450-LD</t>
        </is>
      </c>
      <c r="B2" t="inlineStr">
        <is>
          <t>Quantum-X InfiniBand Photonics</t>
        </is>
      </c>
      <c r="C2" t="inlineStr">
        <is>
          <t>documented</t>
        </is>
      </c>
      <c r="D2" t="inlineStr">
        <is>
          <t>—</t>
        </is>
      </c>
      <c r="E2" t="inlineStr">
        <is>
          <t>920-9B36M-00MX-8ES</t>
        </is>
      </c>
      <c r="F2" t="inlineStr">
        <is>
          <t>800Gb/s XDR</t>
        </is>
      </c>
      <c r="G2" t="inlineStr">
        <is>
          <t>144x MPO-12 CPO 800Gb/s XDR fixed</t>
        </is>
      </c>
      <c r="H2" t="inlineStr">
        <is>
          <t>Quantum-X InfiniBand Photonics: co-packaged optics, 800Gb/s XDR, 115.2 Tb/s</t>
        </is>
      </c>
      <c r="I2" s="6" t="inlineStr">
        <is>
          <t>https://networking-docs.nvidia.com/xdrswitcheshw</t>
        </is>
      </c>
    </row>
    <row r="3">
      <c r="A3" t="inlineStr">
        <is>
          <t>Spectrum-X Ethernet Photonics Switches</t>
        </is>
      </c>
      <c r="B3" t="inlineStr">
        <is>
          <t>Spectrum-X Ethernet Photonics</t>
        </is>
      </c>
      <c r="C3" t="inlineStr">
        <is>
          <t>active</t>
        </is>
      </c>
      <c r="D3" t="inlineStr">
        <is>
          <t>—</t>
        </is>
      </c>
      <c r="E3" t="inlineStr">
        <is>
          <t>—</t>
        </is>
      </c>
      <c r="F3" t="inlineStr">
        <is>
          <t>200G SerDes CPO architecture</t>
        </is>
      </c>
      <c r="G3" t="inlineStr">
        <is>
          <t>—</t>
        </is>
      </c>
      <c r="H3" t="inlineStr">
        <is>
          <t>Spectrum-X Ethernet Photonics: co-packaged optics, 200G SerDes CPO architecture, up to 409.6 Tb/s</t>
        </is>
      </c>
      <c r="I3" s="6" t="inlineStr">
        <is>
          <t>https://www.nvidia.com/en-us/networking/products/silicon-photonics/</t>
        </is>
      </c>
    </row>
  </sheetData>
  <autoFilter ref="A1:I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60" customWidth="1" min="5" max="5"/>
    <col width="10" customWidth="1" min="6" max="6"/>
    <col width="49" customWidth="1" min="7" max="7"/>
    <col width="60" customWidth="1" min="8" max="8"/>
    <col width="60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Cages / interfaces</t>
        </is>
      </c>
      <c r="H1" s="5" t="inlineStr">
        <is>
          <t>Description</t>
        </is>
      </c>
      <c r="I1" s="5" t="inlineStr">
        <is>
          <t>Link</t>
        </is>
      </c>
    </row>
    <row r="2">
      <c r="A2" t="inlineStr">
        <is>
          <t>BlueField-4 DPU</t>
        </is>
      </c>
      <c r="B2" t="inlineStr">
        <is>
          <t>—</t>
        </is>
      </c>
      <c r="C2" t="inlineStr">
        <is>
          <t>documented</t>
        </is>
      </c>
      <c r="D2" t="inlineStr">
        <is>
          <t>—</t>
        </is>
      </c>
      <c r="E2" t="inlineStr">
        <is>
          <t>—</t>
        </is>
      </c>
      <c r="F2" t="inlineStr">
        <is>
          <t>800Gb/s</t>
        </is>
      </c>
      <c r="G2" t="inlineStr">
        <is>
          <t>QSFP112 800Gb/s</t>
        </is>
      </c>
      <c r="H2" t="inlineStr">
        <is>
          <t>BlueField-4 DPU, 800Gb/s: networking, storage, cybersecurity, secure multi-tenancy</t>
        </is>
      </c>
      <c r="I2" s="6" t="inlineStr">
        <is>
          <t>https://www.nvidia.com/en-eu/data-center/dgx-rubin-nvl8/</t>
        </is>
      </c>
    </row>
    <row r="3">
      <c r="A3" t="inlineStr">
        <is>
          <t>BlueField-4 STX Storage Processor</t>
        </is>
      </c>
      <c r="B3" t="inlineStr">
        <is>
          <t>—</t>
        </is>
      </c>
      <c r="C3" t="inlineStr">
        <is>
          <t>documented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BlueField-4 STX Storage Processor: AI-native storage, Vera CPU, in-silicon security</t>
        </is>
      </c>
      <c r="I3" s="6" t="inlineStr">
        <is>
          <t>https://www.nvidia.com/en-us/networking/products/data-processing-unit/</t>
        </is>
      </c>
    </row>
    <row r="4">
      <c r="A4" t="inlineStr">
        <is>
          <t>BlueField-3 DPU</t>
        </is>
      </c>
      <c r="B4" t="inlineStr">
        <is>
          <t>—</t>
        </is>
      </c>
      <c r="C4" t="inlineStr">
        <is>
          <t>documented</t>
        </is>
      </c>
      <c r="D4" t="inlineStr">
        <is>
          <t>—</t>
        </is>
      </c>
      <c r="E4" t="inlineStr">
        <is>
          <t>900-9D3B6-00CC-AA0, 900-9D3B6-00CC-EA0, 900-9D3B6-00CN-AB0, 900-9D3B6-00CN-PA0, 900-9D3B6-00CV-AA0, 900-9D3B6-00SC-AA0, 900-9D3B6-00SC-EA0, 900-9D3B6-00SN-AB0, 900-9D3B6-00SV-AA0, 900-9D3L6-00CN-AA0</t>
        </is>
      </c>
      <c r="F4" t="inlineStr">
        <is>
          <t>400Gb/s</t>
        </is>
      </c>
      <c r="G4" t="inlineStr">
        <is>
          <t>QSFP112 400Gb/s; QSFP56 400Gb/s; QSFP28 400Gb/s</t>
        </is>
      </c>
      <c r="H4" t="inlineStr">
        <is>
          <t>BlueField-3 DPU, 400Gb/s: SDN, storage, cybersecurity, HPC, 5G</t>
        </is>
      </c>
      <c r="I4" s="6" t="inlineStr">
        <is>
          <t>https://networking-docs.nvidia.com/bf3dpu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60" customWidth="1" min="5" max="5"/>
    <col width="40" customWidth="1" min="6" max="6"/>
    <col width="60" customWidth="1" min="7" max="7"/>
    <col width="60" customWidth="1" min="8" max="8"/>
    <col width="48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Cages / interfaces</t>
        </is>
      </c>
      <c r="H1" s="5" t="inlineStr">
        <is>
          <t>Description</t>
        </is>
      </c>
      <c r="I1" s="5" t="inlineStr">
        <is>
          <t>Link</t>
        </is>
      </c>
    </row>
    <row r="2">
      <c r="A2" t="inlineStr">
        <is>
          <t>ConnectX-9 SuperNIC</t>
        </is>
      </c>
      <c r="B2" t="inlineStr">
        <is>
          <t>—</t>
        </is>
      </c>
      <c r="C2" t="inlineStr">
        <is>
          <t>documented</t>
        </is>
      </c>
      <c r="D2" t="inlineStr">
        <is>
          <t>—</t>
        </is>
      </c>
      <c r="E2" t="inlineStr">
        <is>
          <t>900-9X91E-00EB-ST0, 900-9X91Q-00CN-ST0, 900-9X91E-00EB-DT0, 900-9X91E-00QB-ST0, 900-9X91Q-00RN-ST0, 900-9X91Q-00RV-ST0, 900-9X91Q-00RC-ST0</t>
        </is>
      </c>
      <c r="F2" t="inlineStr">
        <is>
          <t>up to 1.6 Tb/s per GPU</t>
        </is>
      </c>
      <c r="G2" t="inlineStr">
        <is>
          <t>1x OSFP 800GbE / XDR 800Gb/s (C9180); 2x QSFP112 2x400GbE / 400Gb/s IB (C9240); 2x QSFP112 400GbE (C9220); 2x QSFP112 200GbE (C9210)</t>
        </is>
      </c>
      <c r="H2" t="inlineStr">
        <is>
          <t>ConnectX-9 SuperNIC, up to 1.6 Tb/s per GPU: Spectrum-X Ethernet, AI fabrics</t>
        </is>
      </c>
      <c r="I2" s="6" t="inlineStr">
        <is>
          <t>https://networking-docs.nvidia.com/connectx9hw</t>
        </is>
      </c>
    </row>
    <row r="3">
      <c r="A3" t="inlineStr">
        <is>
          <t>ConnectX-8 SuperNIC</t>
        </is>
      </c>
      <c r="B3" t="inlineStr">
        <is>
          <t>—</t>
        </is>
      </c>
      <c r="C3" t="inlineStr">
        <is>
          <t>documented</t>
        </is>
      </c>
      <c r="D3" t="inlineStr">
        <is>
          <t>—</t>
        </is>
      </c>
      <c r="E3" t="inlineStr">
        <is>
          <t>900-9X81E-00EX-ST0, 900-9X81Q-00CN-ST0, 900-9X81Q-00CV-ST0, 900-9X81E-00EX-DT0, 900-9X81E-00EX-SL0</t>
        </is>
      </c>
      <c r="F3" t="inlineStr">
        <is>
          <t>up to 800 Gb/s total network bandwidth</t>
        </is>
      </c>
      <c r="G3" t="inlineStr">
        <is>
          <t>1x OSFP XDR 800Gb/s / 2x400GbE (C8180); 2x QSFP112 400GbE / 400Gb/s IB (C8240); 2x QSFP112 up to 400Gb/s aggregate (C8220); 1x OSFP XDR 800Gb/s / 2x400GbE (C8180L Partner Cooled)</t>
        </is>
      </c>
      <c r="H3" t="inlineStr">
        <is>
          <t>ConnectX-8 SuperNIC, up to 800 Gb/s total network bandwidth: PCIe Gen6, Spectrum-X Ethernet, AI compute fabrics</t>
        </is>
      </c>
      <c r="I3" s="6" t="inlineStr">
        <is>
          <t>https://networking-docs.nvidia.com/connectx8hw</t>
        </is>
      </c>
    </row>
    <row r="4">
      <c r="A4" t="inlineStr">
        <is>
          <t>BlueField-3 SuperNIC</t>
        </is>
      </c>
      <c r="B4" t="inlineStr">
        <is>
          <t>—</t>
        </is>
      </c>
      <c r="C4" t="inlineStr">
        <is>
          <t>documented</t>
        </is>
      </c>
      <c r="D4" t="inlineStr">
        <is>
          <t>—</t>
        </is>
      </c>
      <c r="E4" t="inlineStr">
        <is>
          <t>900-9D3B4-00CC-EA0, 900-9D3B4-00CV-EA0, 900-9D3B4-00EN-EA0, 900-9D3B4-00PN-EA0, 900-9D3B4-00SC-EA0, 900-9D3B4-00SV-EA0, 900-9D3D4-00EN-HA0, 900-9D3D4-00NN-HA0</t>
        </is>
      </c>
      <c r="F4" t="inlineStr">
        <is>
          <t>up to 400 Gb/s</t>
        </is>
      </c>
      <c r="G4" t="inlineStr">
        <is>
          <t>QSFP112 up to 400 Gb/s; QSFP56 up to 400 Gb/s; QSFP28 up to 400 Gb/s</t>
        </is>
      </c>
      <c r="H4" t="inlineStr">
        <is>
          <t>BlueField-3 SuperNIC, up to 400 Gb/s: Spectrum-X Ethernet, secure cloud multi-tenancy, deterministic isolated performance</t>
        </is>
      </c>
      <c r="I4" s="6" t="inlineStr">
        <is>
          <t>https://networking-docs.nvidia.com/bf3dpu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20" customWidth="1" min="5" max="5"/>
    <col width="27" customWidth="1" min="6" max="6"/>
    <col width="32" customWidth="1" min="7" max="7"/>
    <col width="60" customWidth="1" min="8" max="8"/>
    <col width="48" customWidth="1" min="9" max="9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Speed</t>
        </is>
      </c>
      <c r="G1" s="5" t="inlineStr">
        <is>
          <t>Interface</t>
        </is>
      </c>
      <c r="H1" s="5" t="inlineStr">
        <is>
          <t>Cages / interfaces</t>
        </is>
      </c>
      <c r="I1" s="5" t="inlineStr">
        <is>
          <t>Link</t>
        </is>
      </c>
    </row>
    <row r="2">
      <c r="A2" t="inlineStr">
        <is>
          <t>C9180</t>
        </is>
      </c>
      <c r="B2" t="inlineStr">
        <is>
          <t>ConnectX-9</t>
        </is>
      </c>
      <c r="C2" t="inlineStr">
        <is>
          <t>MP</t>
        </is>
      </c>
      <c r="D2" t="inlineStr">
        <is>
          <t>—</t>
        </is>
      </c>
      <c r="E2" t="inlineStr">
        <is>
          <t>900-9X91E-00EB-ST0, 900-9X91E-00EB-DT0, 900-9X91E-00QB-ST0</t>
        </is>
      </c>
      <c r="F2" t="inlineStr">
        <is>
          <t>800GbE / XDR 800Gb/s</t>
        </is>
      </c>
      <c r="G2" t="inlineStr">
        <is>
          <t>single-cage OSFP</t>
        </is>
      </c>
      <c r="H2" t="inlineStr">
        <is>
          <t>1x OSFP 800GbE / XDR 800Gb/s (C9180)</t>
        </is>
      </c>
      <c r="I2" s="6" t="inlineStr">
        <is>
          <t>https://networking-docs.nvidia.com/connectx9hw</t>
        </is>
      </c>
    </row>
    <row r="3">
      <c r="A3" t="inlineStr">
        <is>
          <t>C9240</t>
        </is>
      </c>
      <c r="B3" t="inlineStr">
        <is>
          <t>ConnectX-9</t>
        </is>
      </c>
      <c r="C3" t="inlineStr">
        <is>
          <t>MP</t>
        </is>
      </c>
      <c r="D3" t="inlineStr">
        <is>
          <t>—</t>
        </is>
      </c>
      <c r="E3" t="inlineStr">
        <is>
          <t>900-9X91Q-00CN-ST0, 900-9X91Q-00RN-ST0</t>
        </is>
      </c>
      <c r="F3" t="inlineStr">
        <is>
          <t>2x400GbE / 400Gb/s IB</t>
        </is>
      </c>
      <c r="G3" t="inlineStr">
        <is>
          <t>dual QSFP112</t>
        </is>
      </c>
      <c r="H3" t="inlineStr">
        <is>
          <t>2x QSFP112 2x400GbE / 400Gb/s IB (C9240)</t>
        </is>
      </c>
      <c r="I3" s="6" t="inlineStr">
        <is>
          <t>https://networking-docs.nvidia.com/connectx9hw</t>
        </is>
      </c>
    </row>
    <row r="4">
      <c r="A4" t="inlineStr">
        <is>
          <t>C8180</t>
        </is>
      </c>
      <c r="B4" t="inlineStr">
        <is>
          <t>ConnectX-8</t>
        </is>
      </c>
      <c r="C4" t="inlineStr">
        <is>
          <t>MP</t>
        </is>
      </c>
      <c r="D4" t="inlineStr">
        <is>
          <t>—</t>
        </is>
      </c>
      <c r="E4" t="inlineStr">
        <is>
          <t>900-9X81E-00EX-ST0, 900-9X81E-00EX-DT0</t>
        </is>
      </c>
      <c r="F4" t="inlineStr">
        <is>
          <t>XDR 800Gb/s / 2x400GbE</t>
        </is>
      </c>
      <c r="G4" t="inlineStr">
        <is>
          <t>single-cage OSFP</t>
        </is>
      </c>
      <c r="H4" t="inlineStr">
        <is>
          <t>1x OSFP XDR 800Gb/s / 2x400GbE (C8180)</t>
        </is>
      </c>
      <c r="I4" s="6" t="inlineStr">
        <is>
          <t>https://networking-docs.nvidia.com/connectx8hw</t>
        </is>
      </c>
    </row>
    <row r="5">
      <c r="A5" t="inlineStr">
        <is>
          <t>C8240</t>
        </is>
      </c>
      <c r="B5" t="inlineStr">
        <is>
          <t>ConnectX-8</t>
        </is>
      </c>
      <c r="C5" t="inlineStr">
        <is>
          <t>active</t>
        </is>
      </c>
      <c r="D5" t="inlineStr">
        <is>
          <t>—</t>
        </is>
      </c>
      <c r="E5" t="inlineStr">
        <is>
          <t>900-9X81Q-00CN-ST0</t>
        </is>
      </c>
      <c r="F5" t="inlineStr">
        <is>
          <t>400GbE / 400Gb/s IB</t>
        </is>
      </c>
      <c r="G5" t="inlineStr">
        <is>
          <t>dual QSFP112</t>
        </is>
      </c>
      <c r="H5" t="inlineStr">
        <is>
          <t>2x QSFP112 400GbE / 400Gb/s IB (C8240)</t>
        </is>
      </c>
      <c r="I5" s="6" t="inlineStr">
        <is>
          <t>https://networking-docs.nvidia.com/connectx8hw</t>
        </is>
      </c>
    </row>
    <row r="6">
      <c r="A6" t="inlineStr">
        <is>
          <t>C8220</t>
        </is>
      </c>
      <c r="B6" t="inlineStr">
        <is>
          <t>ConnectX-8</t>
        </is>
      </c>
      <c r="C6" t="inlineStr">
        <is>
          <t>prototype</t>
        </is>
      </c>
      <c r="D6" t="inlineStr">
        <is>
          <t>—</t>
        </is>
      </c>
      <c r="E6" t="inlineStr">
        <is>
          <t>900-9X81Q-00CV-ST0</t>
        </is>
      </c>
      <c r="F6" t="inlineStr">
        <is>
          <t>up to 400Gb/s aggregate</t>
        </is>
      </c>
      <c r="G6" t="inlineStr">
        <is>
          <t>dual QSFP112</t>
        </is>
      </c>
      <c r="H6" t="inlineStr">
        <is>
          <t>2x QSFP112 up to 400Gb/s aggregate (C8220)</t>
        </is>
      </c>
      <c r="I6" s="6" t="inlineStr">
        <is>
          <t>https://networking-docs.nvidia.com/connectx8hw</t>
        </is>
      </c>
    </row>
    <row r="7">
      <c r="A7" t="inlineStr">
        <is>
          <t>ConnectX-7</t>
        </is>
      </c>
      <c r="B7" t="inlineStr">
        <is>
          <t>ConnectX-7</t>
        </is>
      </c>
      <c r="C7" t="inlineStr">
        <is>
          <t>documented</t>
        </is>
      </c>
      <c r="D7" t="inlineStr">
        <is>
          <t>MCX713104AC-ADAT, MCX713104AS-ADAT, MCX713105AS-WEAT, MCX713106AC-CEAT, MCX713106AC-VEAT, MCX713106AS-CEAT, MCX713106AS-VEAT, MCX713114GC-GEAT, MCX713114TC-GEAT, MCX715105AS-WEAT, MCX75310AAC-NEAT, MCX75310AAS-HEAT, MCX75310AAS-NEAT, MCX755106AC-HEAT, MCX755106AS-HEAT, MCX75510AAS-HEAT, MCX75510AAS-NEAT</t>
        </is>
      </c>
      <c r="E7" t="inlineStr">
        <is>
          <t>900-9X721-003N-DT0, 900-9X721-003N-DT1, 900-9X766-003N-SQ0, 900-9X766-003N-SR0, 900-9X766-003N-ST0, 900-9X7AH-0039-ST1, 900-9X7AH-0039-STZ, 900-9X7AH-004N-CT0, 900-9X7AH-004N-GT0, 900-9X7AH-0076-ST0, 900-9X7AH-0078-DTZ, 900-9X7AH-0078-ST0, 900-9X7AH-0079-DTZ, 900-9X7AH-0086-SQ0, 900-9X7AH-0088-ST0, 900-9X7AO-0003-ST0, 900-9X7AO-00C3-STZ</t>
        </is>
      </c>
      <c r="F7" t="inlineStr">
        <is>
          <t>up to 400Gb/s IB/Ethernet</t>
        </is>
      </c>
      <c r="G7" t="inlineStr">
        <is>
          <t>OSFP / QSFP112 by SKU</t>
        </is>
      </c>
      <c r="H7" t="inlineStr">
        <is>
          <t>OSFP up to 400Gb/s IB/Ethernet (ConnectX-7); QSFP112 up to 400Gb/s IB/Ethernet (ConnectX-7)</t>
        </is>
      </c>
      <c r="I7" s="6" t="inlineStr">
        <is>
          <t>https://networking-docs.nvidia.com/connectx7hw</t>
        </is>
      </c>
    </row>
    <row r="8">
      <c r="A8" t="inlineStr">
        <is>
          <t>ConnectX-6</t>
        </is>
      </c>
      <c r="B8" t="inlineStr">
        <is>
          <t>ConnectX-6</t>
        </is>
      </c>
      <c r="C8" t="inlineStr">
        <is>
          <t>documented</t>
        </is>
      </c>
      <c r="D8" t="inlineStr">
        <is>
          <t>—</t>
        </is>
      </c>
      <c r="E8" t="inlineStr">
        <is>
          <t>—</t>
        </is>
      </c>
      <c r="F8" t="inlineStr">
        <is>
          <t>up to 200Gb/s IB/Ethernet</t>
        </is>
      </c>
      <c r="G8" t="inlineStr">
        <is>
          <t>QSFP56 / QSFP28 by SKU</t>
        </is>
      </c>
      <c r="H8" t="inlineStr">
        <is>
          <t>QSFP56 up to 200Gb/s IB/Ethernet (ConnectX-6); QSFP28 up to 200Gb/s IB/Ethernet (ConnectX-6)</t>
        </is>
      </c>
      <c r="I8" s="6" t="inlineStr">
        <is>
          <t>https://networking-docs.nvidia.com/adapters</t>
        </is>
      </c>
    </row>
    <row r="9">
      <c r="A9" t="inlineStr">
        <is>
          <t>ConnectX-6 Dx</t>
        </is>
      </c>
      <c r="B9" t="inlineStr">
        <is>
          <t>ConnectX-6 Dx</t>
        </is>
      </c>
      <c r="C9" t="inlineStr">
        <is>
          <t>documented</t>
        </is>
      </c>
      <c r="D9" t="inlineStr">
        <is>
          <t>—</t>
        </is>
      </c>
      <c r="E9" t="inlineStr">
        <is>
          <t>—</t>
        </is>
      </c>
      <c r="F9" t="inlineStr">
        <is>
          <t>up to 200GbE</t>
        </is>
      </c>
      <c r="G9" t="inlineStr">
        <is>
          <t>QSFP56 / QSFP28 / SFP56 by SKU</t>
        </is>
      </c>
      <c r="H9" t="inlineStr">
        <is>
          <t>QSFP56 up to 200GbE (ConnectX-6 Dx); QSFP28 up to 200GbE (ConnectX-6 Dx); SFP56 up to 200GbE (ConnectX-6 Dx)</t>
        </is>
      </c>
      <c r="I9" s="6" t="inlineStr">
        <is>
          <t>https://networking-docs.nvidia.com/adapters</t>
        </is>
      </c>
    </row>
    <row r="10">
      <c r="A10" t="inlineStr">
        <is>
          <t>ConnectX-6 Lx</t>
        </is>
      </c>
      <c r="B10" t="inlineStr">
        <is>
          <t>ConnectX-6 Lx</t>
        </is>
      </c>
      <c r="C10" t="inlineStr">
        <is>
          <t>documented</t>
        </is>
      </c>
      <c r="D10" t="inlineStr">
        <is>
          <t>—</t>
        </is>
      </c>
      <c r="E10" t="inlineStr">
        <is>
          <t>—</t>
        </is>
      </c>
      <c r="F10" t="inlineStr">
        <is>
          <t>up to 50GbE</t>
        </is>
      </c>
      <c r="G10" t="inlineStr">
        <is>
          <t>SFP56 / SFP28 by SKU</t>
        </is>
      </c>
      <c r="H10" t="inlineStr">
        <is>
          <t>SFP56 up to 50GbE (ConnectX-6 Lx); SFP28 up to 50GbE (ConnectX-6 Lx)</t>
        </is>
      </c>
      <c r="I10" s="6" t="inlineStr">
        <is>
          <t>https://networking-docs.nvidia.com/adapters</t>
        </is>
      </c>
    </row>
  </sheetData>
  <autoFilter ref="A1:I1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33" customWidth="1" min="4" max="4"/>
    <col width="40" customWidth="1" min="5" max="5"/>
    <col width="46" customWidth="1" min="6" max="6"/>
    <col width="60" customWidth="1" min="7" max="7"/>
    <col width="60" customWidth="1" min="8" max="8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Legacy OPN</t>
        </is>
      </c>
      <c r="E1" s="5" t="inlineStr">
        <is>
          <t>NVIDIA OPN</t>
        </is>
      </c>
      <c r="F1" s="5" t="inlineStr">
        <is>
          <t>Network interface</t>
        </is>
      </c>
      <c r="G1" s="5" t="inlineStr">
        <is>
          <t>Description</t>
        </is>
      </c>
      <c r="H1" s="5" t="inlineStr">
        <is>
          <t>Link</t>
        </is>
      </c>
    </row>
    <row r="2">
      <c r="A2" t="inlineStr">
        <is>
          <t>UFM XDR Appliance</t>
        </is>
      </c>
      <c r="B2" t="inlineStr">
        <is>
          <t>UFM Enterprise Gen 3.5</t>
        </is>
      </c>
      <c r="C2" t="inlineStr">
        <is>
          <t>documented</t>
        </is>
      </c>
      <c r="D2" t="inlineStr">
        <is>
          <t>—</t>
        </is>
      </c>
      <c r="E2" t="inlineStr">
        <is>
          <t>—</t>
        </is>
      </c>
      <c r="F2" t="inlineStr">
        <is>
          <t>XDR InfiniBand</t>
        </is>
      </c>
      <c r="G2" t="inlineStr">
        <is>
          <t>UFM Enterprise Gen 3.5 UFM appliance, XDR InfiniBand</t>
        </is>
      </c>
      <c r="H2" s="6" t="inlineStr">
        <is>
          <t>https://networking-docs.nvidia.com/software/management-software/ufm-appliances</t>
        </is>
      </c>
    </row>
    <row r="3">
      <c r="A3" t="inlineStr">
        <is>
          <t>MUA970D</t>
        </is>
      </c>
      <c r="B3" t="inlineStr">
        <is>
          <t>UFM XDR-DC Gen 3.5</t>
        </is>
      </c>
      <c r="C3" t="inlineStr">
        <is>
          <t>active</t>
        </is>
      </c>
      <c r="D3" t="inlineStr">
        <is>
          <t>MUA9702H-2SFS-DC</t>
        </is>
      </c>
      <c r="E3" t="inlineStr">
        <is>
          <t>920-9B020-10RI-0D0</t>
        </is>
      </c>
      <c r="F3" t="inlineStr">
        <is>
          <t>ConnectX-8 400Gb/s InfiniBand</t>
        </is>
      </c>
      <c r="G3" t="inlineStr">
        <is>
          <t>UFM XDR-DC Gen 3.5 UFM appliance, ConnectX-8 400Gb/s InfiniBand</t>
        </is>
      </c>
      <c r="H3" s="6" t="inlineStr">
        <is>
          <t>https://networking-docs.nvidia.com/ufmenterprisexdrdchw/</t>
        </is>
      </c>
    </row>
    <row r="4">
      <c r="A4" t="inlineStr">
        <is>
          <t>MUA9652H-2SF</t>
        </is>
      </c>
      <c r="B4" t="inlineStr">
        <is>
          <t>UFM Cyber-AI 4.0</t>
        </is>
      </c>
      <c r="C4" t="inlineStr">
        <is>
          <t>documented</t>
        </is>
      </c>
      <c r="D4" t="inlineStr">
        <is>
          <t>MUA9652H-2SF</t>
        </is>
      </c>
      <c r="E4" t="inlineStr">
        <is>
          <t>920-9B020-00FH-0D0</t>
        </is>
      </c>
      <c r="F4" t="inlineStr">
        <is>
          <t>2x ConnectX-6 HDR 200Gb/s InfiniBand</t>
        </is>
      </c>
      <c r="G4" t="inlineStr">
        <is>
          <t>UFM Cyber-AI 4.0 UFM appliance, 2x ConnectX-6 HDR 200Gb/s InfiniBand</t>
        </is>
      </c>
      <c r="H4" s="6" t="inlineStr">
        <is>
          <t>https://networking-docs.nvidia.com/ufm40cyberaiapphw</t>
        </is>
      </c>
    </row>
    <row r="5">
      <c r="A5" t="inlineStr">
        <is>
          <t>MUA960</t>
        </is>
      </c>
      <c r="B5" t="inlineStr">
        <is>
          <t>UFM Enterprise Gen 3.0 HDR</t>
        </is>
      </c>
      <c r="C5" t="inlineStr">
        <is>
          <t>documented</t>
        </is>
      </c>
      <c r="D5" t="inlineStr">
        <is>
          <t>MUA9602H-2SR</t>
        </is>
      </c>
      <c r="E5" t="inlineStr">
        <is>
          <t>920-9B020-00FA-0D3</t>
        </is>
      </c>
      <c r="F5" t="inlineStr">
        <is>
          <t>HDR InfiniBand</t>
        </is>
      </c>
      <c r="G5" t="inlineStr">
        <is>
          <t>UFM Enterprise Gen 3.0 HDR UFM appliance, HDR InfiniBand</t>
        </is>
      </c>
      <c r="H5" s="6" t="inlineStr">
        <is>
          <t>https://networking-docs.nvidia.com/ufmenterprisehdrhwum</t>
        </is>
      </c>
    </row>
    <row r="6">
      <c r="A6" t="inlineStr">
        <is>
          <t>MUA960B</t>
        </is>
      </c>
      <c r="B6" t="inlineStr">
        <is>
          <t>UFM Enterprise Gen 3.0 NDR</t>
        </is>
      </c>
      <c r="C6" t="inlineStr">
        <is>
          <t>documented</t>
        </is>
      </c>
      <c r="D6" t="inlineStr">
        <is>
          <t>MUA9602H-2SRS</t>
        </is>
      </c>
      <c r="E6" t="inlineStr">
        <is>
          <t>920-9B020-00RA-0D0</t>
        </is>
      </c>
      <c r="F6" t="inlineStr">
        <is>
          <t>NDR InfiniBand</t>
        </is>
      </c>
      <c r="G6" t="inlineStr">
        <is>
          <t>UFM Enterprise Gen 3.0 NDR UFM appliance, NDR InfiniBand</t>
        </is>
      </c>
      <c r="H6" s="6" t="inlineStr">
        <is>
          <t>https://networking-docs.nvidia.com/ufmenterprisendrhwum</t>
        </is>
      </c>
    </row>
    <row r="7">
      <c r="A7" t="inlineStr">
        <is>
          <t>MUA950</t>
        </is>
      </c>
      <c r="B7" t="inlineStr">
        <is>
          <t>UFM-SDN 2.5</t>
        </is>
      </c>
      <c r="C7" t="inlineStr">
        <is>
          <t>documented</t>
        </is>
      </c>
      <c r="D7" t="inlineStr">
        <is>
          <t>MUA9502H-2SF / MUA9502H-2SF-40K</t>
        </is>
      </c>
      <c r="E7" t="inlineStr">
        <is>
          <t>920-9B020-00FA-0D5, 920-9B020-09FA-0D0</t>
        </is>
      </c>
      <c r="F7" t="inlineStr">
        <is>
          <t>InfiniBand</t>
        </is>
      </c>
      <c r="G7" t="inlineStr">
        <is>
          <t>UFM-SDN 2.5 UFM appliance, InfiniBand</t>
        </is>
      </c>
      <c r="H7" s="6" t="inlineStr">
        <is>
          <t>https://networking-docs.nvidia.com/ufmsdn25apphw</t>
        </is>
      </c>
    </row>
    <row r="8">
      <c r="A8" t="inlineStr">
        <is>
          <t>MUA975</t>
        </is>
      </c>
      <c r="B8" t="inlineStr">
        <is>
          <t>UFM Cyber-AI Gen 4.5</t>
        </is>
      </c>
      <c r="C8" t="inlineStr">
        <is>
          <t>documented</t>
        </is>
      </c>
      <c r="D8" t="inlineStr">
        <is>
          <t>MUA9752H-2SFS-AC</t>
        </is>
      </c>
      <c r="E8" t="inlineStr">
        <is>
          <t>920-9B020-00RI-0D5</t>
        </is>
      </c>
      <c r="F8" t="inlineStr">
        <is>
          <t>2x ConnectX-8 single-port 400Gb/s InfiniBand</t>
        </is>
      </c>
      <c r="G8" t="inlineStr">
        <is>
          <t>UFM Cyber-AI Gen 4.5 UFM appliance, 2x ConnectX-8 single-port 400Gb/s InfiniBand</t>
        </is>
      </c>
      <c r="H8" s="6" t="inlineStr">
        <is>
          <t>https://networking-docs.nvidia.com/ufm45cyberaiapphw</t>
        </is>
      </c>
    </row>
  </sheetData>
  <autoFilter ref="A1:H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40" customWidth="1" min="4" max="4"/>
    <col width="13" customWidth="1" min="5" max="5"/>
    <col width="48" customWidth="1" min="6" max="6"/>
  </cols>
  <sheetData>
    <row r="1">
      <c r="A1" s="5" t="inlineStr">
        <is>
          <t>Model</t>
        </is>
      </c>
      <c r="B1" s="5" t="inlineStr">
        <is>
          <t>Family</t>
        </is>
      </c>
      <c r="C1" s="5" t="inlineStr">
        <is>
          <t>Status</t>
        </is>
      </c>
      <c r="D1" s="5" t="inlineStr">
        <is>
          <t>Speed</t>
        </is>
      </c>
      <c r="E1" s="5" t="inlineStr">
        <is>
          <t>Interface</t>
        </is>
      </c>
      <c r="F1" s="5" t="inlineStr">
        <is>
          <t>Link</t>
        </is>
      </c>
    </row>
    <row r="2">
      <c r="A2" t="inlineStr">
        <is>
          <t>MCX516A-CCAT</t>
        </is>
      </c>
      <c r="B2" t="inlineStr">
        <is>
          <t>ConnectX-5</t>
        </is>
      </c>
      <c r="C2" t="inlineStr">
        <is>
          <t>legacy</t>
        </is>
      </c>
      <c r="D2" t="inlineStr">
        <is>
          <t>up to 100GbE per port / EDR InfiniBand</t>
        </is>
      </c>
      <c r="E2" t="inlineStr">
        <is>
          <t>dual QSFP28</t>
        </is>
      </c>
      <c r="F2" s="6" t="inlineStr">
        <is>
          <t>https://networking-docs.nvidia.com/connectx5en</t>
        </is>
      </c>
    </row>
    <row r="3">
      <c r="A3" t="inlineStr">
        <is>
          <t>MCX455A-ECAT</t>
        </is>
      </c>
      <c r="B3" t="inlineStr">
        <is>
          <t>ConnectX-4</t>
        </is>
      </c>
      <c r="C3" t="inlineStr">
        <is>
          <t>legacy</t>
        </is>
      </c>
      <c r="D3" t="inlineStr">
        <is>
          <t>100GbE / EDR InfiniBand class</t>
        </is>
      </c>
      <c r="E3" t="inlineStr">
        <is>
          <t>QSFP28</t>
        </is>
      </c>
      <c r="F3" s="6" t="inlineStr">
        <is>
          <t>https://networking-docs.nvidia.com/connectx4</t>
        </is>
      </c>
    </row>
    <row r="4">
      <c r="A4" t="inlineStr">
        <is>
          <t>MCX4121A-ACAT</t>
        </is>
      </c>
      <c r="B4" t="inlineStr">
        <is>
          <t>ConnectX-4 Lx</t>
        </is>
      </c>
      <c r="C4" t="inlineStr">
        <is>
          <t>legacy</t>
        </is>
      </c>
      <c r="D4" t="inlineStr">
        <is>
          <t>up to 25GbE per port</t>
        </is>
      </c>
      <c r="E4" t="inlineStr">
        <is>
          <t>dual SFP28</t>
        </is>
      </c>
      <c r="F4" s="6" t="inlineStr">
        <is>
          <t>https://networking-docs.nvidia.com/connectx4lx</t>
        </is>
      </c>
    </row>
  </sheetData>
  <autoFilter ref="A1:F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2026-10-20T10:28:57Z</dcterms:created>
  <dcterms:modified xmlns:dcterms="http://purl.org/dc/terms/" xmlns:xsi="http://www.w3.org/2001/XMLSchema-instance" xsi:type="dcterms:W3CDTF">2026-10-23T05:49:52Z</dcterms:modified>
</cp:coreProperties>
</file>